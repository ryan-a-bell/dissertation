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hidePivotFieldList="1" defaultThemeVersion="124226"/>
  <bookViews>
    <workbookView xWindow="-105" yWindow="-105" windowWidth="23250" windowHeight="12450" autoFilterDateGrouping="0"/>
  </bookViews>
  <sheets>
    <sheet name="ollama-ggufs" sheetId="24" r:id="rId1"/>
    <sheet name="gguf models" sheetId="21" r:id="rId2"/>
    <sheet name="ollama-ggufs-old" sheetId="23" r:id="rId3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64" i="24" l="1"/>
  <c r="P164" i="24"/>
  <c r="Q163" i="24"/>
  <c r="P163" i="24"/>
  <c r="Q162" i="24"/>
  <c r="P162" i="24"/>
  <c r="Q161" i="24"/>
  <c r="P161" i="24"/>
  <c r="Q160" i="24"/>
  <c r="P160" i="24"/>
  <c r="Q159" i="24"/>
  <c r="P159" i="24"/>
  <c r="Q158" i="24"/>
  <c r="P158" i="24"/>
  <c r="Q157" i="24"/>
  <c r="P157" i="24"/>
  <c r="Q156" i="24"/>
  <c r="P156" i="24"/>
  <c r="Q155" i="24"/>
  <c r="P155" i="24"/>
  <c r="Q154" i="24"/>
  <c r="P154" i="24"/>
  <c r="Q153" i="24"/>
  <c r="P153" i="24"/>
  <c r="Q152" i="24"/>
  <c r="P152" i="24"/>
  <c r="Q151" i="24"/>
  <c r="P151" i="24"/>
  <c r="Q150" i="24"/>
  <c r="P150" i="24"/>
  <c r="Q149" i="24"/>
  <c r="P149" i="24"/>
  <c r="Q148" i="24"/>
  <c r="P148" i="24"/>
  <c r="Q147" i="24"/>
  <c r="P147" i="24"/>
  <c r="Q146" i="24"/>
  <c r="P146" i="24"/>
  <c r="Q145" i="24"/>
  <c r="P145" i="24"/>
  <c r="Q144" i="24"/>
  <c r="P144" i="24"/>
  <c r="Q143" i="24"/>
  <c r="P143" i="24"/>
  <c r="Q142" i="24"/>
  <c r="P142" i="24"/>
  <c r="Q141" i="24"/>
  <c r="P141" i="24"/>
  <c r="Q140" i="24"/>
  <c r="P140" i="24"/>
  <c r="Q139" i="24"/>
  <c r="P139" i="24"/>
  <c r="Q138" i="24"/>
  <c r="P138" i="24"/>
  <c r="Q137" i="24"/>
  <c r="P137" i="24"/>
  <c r="Q136" i="24"/>
  <c r="P136" i="24"/>
  <c r="Q135" i="24"/>
  <c r="P135" i="24"/>
  <c r="Q134" i="24"/>
  <c r="P134" i="24"/>
  <c r="Q133" i="24"/>
  <c r="P133" i="24"/>
  <c r="Q132" i="24"/>
  <c r="P132" i="24"/>
  <c r="Q131" i="24"/>
  <c r="P131" i="24"/>
  <c r="Q130" i="24"/>
  <c r="P130" i="24"/>
  <c r="Q129" i="24"/>
  <c r="P129" i="24"/>
  <c r="Q128" i="24"/>
  <c r="P128" i="24"/>
  <c r="Q127" i="24"/>
  <c r="P127" i="24"/>
  <c r="Q126" i="24"/>
  <c r="P126" i="24"/>
  <c r="Q125" i="24"/>
  <c r="P125" i="24"/>
  <c r="Q124" i="24"/>
  <c r="P124" i="24"/>
  <c r="Q123" i="24"/>
  <c r="P123" i="24"/>
  <c r="Q122" i="24"/>
  <c r="P122" i="24"/>
  <c r="Q121" i="24"/>
  <c r="P121" i="24"/>
  <c r="Q120" i="24"/>
  <c r="P120" i="24"/>
  <c r="Q119" i="24"/>
  <c r="P119" i="24"/>
  <c r="Q118" i="24"/>
  <c r="P118" i="24"/>
  <c r="Q117" i="24"/>
  <c r="P117" i="24"/>
  <c r="Q116" i="24"/>
  <c r="P116" i="24"/>
  <c r="Q115" i="24"/>
  <c r="P115" i="24"/>
  <c r="Q114" i="24"/>
  <c r="P114" i="24"/>
  <c r="Q113" i="24"/>
  <c r="P113" i="24"/>
  <c r="Q112" i="24"/>
  <c r="P112" i="24"/>
  <c r="Q111" i="24"/>
  <c r="P111" i="24"/>
  <c r="Q110" i="24"/>
  <c r="P110" i="24"/>
  <c r="Q109" i="24"/>
  <c r="P109" i="24"/>
  <c r="Q108" i="24"/>
  <c r="P108" i="24"/>
  <c r="Q107" i="24"/>
  <c r="P107" i="24"/>
  <c r="Q106" i="24"/>
  <c r="P106" i="24"/>
  <c r="Q105" i="24"/>
  <c r="P105" i="24"/>
  <c r="Q104" i="24"/>
  <c r="P104" i="24"/>
  <c r="Q103" i="24"/>
  <c r="P103" i="24"/>
  <c r="Q102" i="24"/>
  <c r="P102" i="24"/>
  <c r="Q101" i="24"/>
  <c r="P101" i="24"/>
  <c r="Q100" i="24"/>
  <c r="P100" i="24"/>
  <c r="Q99" i="24"/>
  <c r="P99" i="24"/>
  <c r="Q98" i="24"/>
  <c r="P98" i="24"/>
  <c r="Q97" i="24"/>
  <c r="P97" i="24"/>
  <c r="Q96" i="24"/>
  <c r="P96" i="24"/>
  <c r="Q95" i="24"/>
  <c r="P95" i="24"/>
  <c r="Q94" i="24"/>
  <c r="P94" i="24"/>
  <c r="Q93" i="24"/>
  <c r="P93" i="24"/>
  <c r="Q92" i="24"/>
  <c r="P92" i="24"/>
  <c r="Q91" i="24"/>
  <c r="P91" i="24"/>
  <c r="Q90" i="24"/>
  <c r="P90" i="24"/>
  <c r="Q89" i="24"/>
  <c r="P89" i="24"/>
  <c r="Q88" i="24"/>
  <c r="P88" i="24"/>
  <c r="Q87" i="24"/>
  <c r="P87" i="24"/>
  <c r="Q86" i="24"/>
  <c r="P86" i="24"/>
  <c r="Q85" i="24"/>
  <c r="P85" i="24"/>
  <c r="Q84" i="24"/>
  <c r="P84" i="24"/>
  <c r="Q83" i="24"/>
  <c r="P83" i="24"/>
  <c r="Q82" i="24"/>
  <c r="P82" i="24"/>
  <c r="Q81" i="24"/>
  <c r="P81" i="24"/>
  <c r="Q80" i="24"/>
  <c r="P80" i="24"/>
  <c r="Q79" i="24"/>
  <c r="P79" i="24"/>
  <c r="Q78" i="24"/>
  <c r="P78" i="24"/>
  <c r="Q77" i="24"/>
  <c r="P77" i="24"/>
  <c r="Q76" i="24"/>
  <c r="P76" i="24"/>
  <c r="Q75" i="24"/>
  <c r="P75" i="24"/>
  <c r="Q74" i="24"/>
  <c r="P74" i="24"/>
  <c r="Q73" i="24"/>
  <c r="P73" i="24"/>
  <c r="Q72" i="24"/>
  <c r="P72" i="24"/>
  <c r="Q71" i="24"/>
  <c r="P71" i="24"/>
  <c r="Q70" i="24"/>
  <c r="P70" i="24"/>
  <c r="Q69" i="24"/>
  <c r="P69" i="24"/>
  <c r="Q68" i="24"/>
  <c r="P68" i="24"/>
  <c r="Q67" i="24"/>
  <c r="P67" i="24"/>
  <c r="Q66" i="24"/>
  <c r="P66" i="24"/>
  <c r="Q65" i="24"/>
  <c r="P65" i="24"/>
  <c r="Q64" i="24"/>
  <c r="P64" i="24"/>
  <c r="Q63" i="24"/>
  <c r="P63" i="24"/>
  <c r="Q62" i="24"/>
  <c r="P62" i="24"/>
  <c r="Q61" i="24"/>
  <c r="P61" i="24"/>
  <c r="Q60" i="24"/>
  <c r="P60" i="24"/>
  <c r="Q59" i="24"/>
  <c r="P59" i="24"/>
  <c r="Q58" i="24"/>
  <c r="P58" i="24"/>
  <c r="Q57" i="24"/>
  <c r="P57" i="24"/>
  <c r="Q56" i="24"/>
  <c r="P56" i="24"/>
  <c r="Q55" i="24"/>
  <c r="P55" i="24"/>
  <c r="Q54" i="24"/>
  <c r="P54" i="24"/>
  <c r="Q53" i="24"/>
  <c r="P53" i="24"/>
  <c r="Q52" i="24"/>
  <c r="P52" i="24"/>
  <c r="Q51" i="24"/>
  <c r="P51" i="24"/>
  <c r="Q50" i="24"/>
  <c r="P50" i="24"/>
  <c r="Q49" i="24"/>
  <c r="P49" i="24"/>
  <c r="Q48" i="24"/>
  <c r="P48" i="24"/>
  <c r="Q47" i="24"/>
  <c r="P47" i="24"/>
  <c r="Q46" i="24"/>
  <c r="P46" i="24"/>
  <c r="Q45" i="24"/>
  <c r="P45" i="24"/>
  <c r="Q44" i="24"/>
  <c r="P44" i="24"/>
  <c r="Q43" i="24"/>
  <c r="P43" i="24"/>
  <c r="Q42" i="24"/>
  <c r="P42" i="24"/>
  <c r="Q41" i="24"/>
  <c r="P41" i="24"/>
  <c r="Q40" i="24"/>
  <c r="P40" i="24"/>
  <c r="Q39" i="24"/>
  <c r="P39" i="24"/>
  <c r="Q38" i="24"/>
  <c r="P38" i="24"/>
  <c r="Q37" i="24"/>
  <c r="P37" i="24"/>
  <c r="Q36" i="24"/>
  <c r="P36" i="24"/>
  <c r="Q35" i="24"/>
  <c r="P35" i="24"/>
  <c r="Q34" i="24"/>
  <c r="P34" i="24"/>
  <c r="Q33" i="24"/>
  <c r="P33" i="24"/>
  <c r="Q32" i="24"/>
  <c r="P32" i="24"/>
  <c r="Q31" i="24"/>
  <c r="P31" i="24"/>
  <c r="Q30" i="24"/>
  <c r="P30" i="24"/>
  <c r="Q29" i="24"/>
  <c r="P29" i="24"/>
  <c r="Q28" i="24"/>
  <c r="P28" i="24"/>
  <c r="Q27" i="24"/>
  <c r="P27" i="24"/>
  <c r="Q26" i="24"/>
  <c r="P26" i="24"/>
  <c r="Q25" i="24"/>
  <c r="P25" i="24"/>
  <c r="Q24" i="24"/>
  <c r="P24" i="24"/>
  <c r="Q23" i="24"/>
  <c r="P23" i="24"/>
  <c r="Q22" i="24"/>
  <c r="P22" i="24"/>
  <c r="Q21" i="24"/>
  <c r="P21" i="24"/>
  <c r="Q20" i="24"/>
  <c r="P20" i="24"/>
  <c r="Q19" i="24"/>
  <c r="P19" i="24"/>
  <c r="Q18" i="24"/>
  <c r="P18" i="24"/>
  <c r="Q17" i="24"/>
  <c r="P17" i="24"/>
  <c r="Q16" i="24"/>
  <c r="P16" i="24"/>
  <c r="Q15" i="24"/>
  <c r="P15" i="24"/>
  <c r="Q14" i="24"/>
  <c r="P14" i="24"/>
  <c r="Q13" i="24"/>
  <c r="P13" i="24"/>
  <c r="Q12" i="24"/>
  <c r="P12" i="24"/>
  <c r="Q11" i="24"/>
  <c r="P11" i="24"/>
  <c r="Q10" i="24"/>
  <c r="P10" i="24"/>
  <c r="Q9" i="24"/>
  <c r="P9" i="24"/>
  <c r="Q8" i="24"/>
  <c r="P8" i="24"/>
  <c r="Q7" i="24"/>
  <c r="P7" i="24"/>
  <c r="Q6" i="24"/>
  <c r="P6" i="24"/>
  <c r="Q5" i="24"/>
  <c r="P5" i="24"/>
  <c r="Q4" i="24"/>
  <c r="P4" i="24"/>
  <c r="Q3" i="24"/>
  <c r="P3" i="24"/>
  <c r="Q2" i="24"/>
  <c r="P2" i="24"/>
  <c r="K4" i="21" l="1"/>
  <c r="K5" i="21"/>
  <c r="K6" i="21"/>
  <c r="K7" i="21"/>
  <c r="K8" i="21"/>
  <c r="K9" i="21"/>
  <c r="K10" i="21"/>
  <c r="K11" i="21"/>
  <c r="K12" i="21"/>
  <c r="K13" i="21"/>
  <c r="K14" i="21"/>
  <c r="K15" i="21"/>
  <c r="K16" i="21"/>
  <c r="K17" i="21"/>
  <c r="K18" i="21"/>
  <c r="K19" i="21"/>
  <c r="K20" i="21"/>
  <c r="K21" i="21"/>
  <c r="K22" i="21"/>
  <c r="K23" i="21"/>
  <c r="K24" i="21"/>
  <c r="K25" i="21"/>
  <c r="K26" i="21"/>
  <c r="K27" i="21"/>
  <c r="K28" i="21"/>
  <c r="K29" i="21"/>
  <c r="K30" i="21"/>
  <c r="K31" i="21"/>
  <c r="K32" i="21"/>
  <c r="K33" i="21"/>
  <c r="K34" i="21"/>
  <c r="K35" i="21"/>
  <c r="K36" i="21"/>
  <c r="K37" i="21"/>
  <c r="K38" i="21"/>
  <c r="K39" i="21"/>
  <c r="K40" i="21"/>
  <c r="K41" i="21"/>
  <c r="K42" i="21"/>
  <c r="K43" i="21"/>
  <c r="K44" i="21"/>
  <c r="K45" i="21"/>
  <c r="K46" i="21"/>
  <c r="K47" i="21"/>
  <c r="K48" i="21"/>
  <c r="K49" i="21"/>
  <c r="K50" i="21"/>
  <c r="K51" i="21"/>
  <c r="K52" i="21"/>
  <c r="K53" i="21"/>
  <c r="K54" i="21"/>
  <c r="K55" i="21"/>
  <c r="K56" i="21"/>
  <c r="K57" i="21"/>
  <c r="K58" i="21"/>
  <c r="K59" i="21"/>
  <c r="K60" i="21"/>
  <c r="K61" i="21"/>
  <c r="K62" i="21"/>
  <c r="K63" i="21"/>
  <c r="K64" i="21"/>
  <c r="K65" i="21"/>
  <c r="K66" i="21"/>
  <c r="K67" i="21"/>
  <c r="K68" i="21"/>
  <c r="K69" i="21"/>
  <c r="K70" i="21"/>
  <c r="K71" i="21"/>
  <c r="K72" i="21"/>
  <c r="K73" i="21"/>
  <c r="K74" i="21"/>
  <c r="K75" i="21"/>
  <c r="K76" i="21"/>
  <c r="K77" i="21"/>
  <c r="K78" i="21"/>
  <c r="K79" i="21"/>
  <c r="K80" i="21"/>
  <c r="K81" i="21"/>
  <c r="K82" i="21"/>
  <c r="K83" i="21"/>
  <c r="K84" i="21"/>
  <c r="K85" i="21"/>
  <c r="K86" i="21"/>
  <c r="K87" i="21"/>
  <c r="K88" i="21"/>
  <c r="K89" i="21"/>
  <c r="K90" i="21"/>
  <c r="K91" i="21"/>
  <c r="K92" i="21"/>
  <c r="K93" i="21"/>
  <c r="K94" i="21"/>
  <c r="K95" i="21"/>
  <c r="K96" i="21"/>
  <c r="K97" i="21"/>
  <c r="K98" i="21"/>
  <c r="K99" i="21"/>
  <c r="K100" i="21"/>
  <c r="K101" i="21"/>
  <c r="K102" i="21"/>
  <c r="K103" i="21"/>
  <c r="K104" i="21"/>
  <c r="K105" i="21"/>
  <c r="K106" i="21"/>
  <c r="K107" i="21"/>
  <c r="K108" i="21"/>
  <c r="K109" i="21"/>
  <c r="K110" i="21"/>
  <c r="K111" i="21"/>
  <c r="K112" i="21"/>
  <c r="K113" i="21"/>
  <c r="K114" i="21"/>
  <c r="K115" i="21"/>
  <c r="K116" i="21"/>
  <c r="K117" i="21"/>
  <c r="K118" i="21"/>
  <c r="K119" i="21"/>
  <c r="K120" i="21"/>
  <c r="K121" i="21"/>
  <c r="K122" i="21"/>
  <c r="K123" i="21"/>
  <c r="K124" i="21"/>
  <c r="K125" i="21"/>
  <c r="K126" i="21"/>
  <c r="K127" i="21"/>
  <c r="K128" i="21"/>
  <c r="K129" i="21"/>
  <c r="K130" i="21"/>
  <c r="K131" i="21"/>
  <c r="K132" i="21"/>
  <c r="K133" i="21"/>
  <c r="K134" i="21"/>
  <c r="K135" i="21"/>
  <c r="K136" i="21"/>
  <c r="K137" i="21"/>
  <c r="K138" i="21"/>
  <c r="K139" i="21"/>
  <c r="K140" i="21"/>
  <c r="K141" i="21"/>
  <c r="K142" i="21"/>
  <c r="K143" i="21"/>
  <c r="K144" i="21"/>
  <c r="K145" i="21"/>
  <c r="K146" i="21"/>
  <c r="K147" i="21"/>
  <c r="K148" i="21"/>
  <c r="K149" i="21"/>
  <c r="K150" i="21"/>
  <c r="K151" i="21"/>
  <c r="K152" i="21"/>
  <c r="K153" i="21"/>
  <c r="K154" i="21"/>
  <c r="K155" i="21"/>
  <c r="K156" i="21"/>
  <c r="K157" i="21"/>
  <c r="K158" i="21"/>
  <c r="K159" i="21"/>
  <c r="K160" i="21"/>
  <c r="K161" i="21"/>
  <c r="K162" i="21"/>
  <c r="K163" i="21"/>
  <c r="K164" i="21"/>
  <c r="K165" i="21"/>
  <c r="K166" i="21"/>
  <c r="K167" i="21"/>
  <c r="K168" i="21"/>
  <c r="K169" i="21"/>
  <c r="K170" i="21"/>
  <c r="K171" i="21"/>
  <c r="K172" i="21"/>
  <c r="K173" i="21"/>
  <c r="K174" i="21"/>
  <c r="K175" i="21"/>
  <c r="K176" i="21"/>
  <c r="K177" i="21"/>
  <c r="K178" i="21"/>
  <c r="K179" i="21"/>
  <c r="K180" i="21"/>
  <c r="K181" i="21"/>
  <c r="K182" i="21"/>
  <c r="K183" i="21"/>
  <c r="K184" i="21"/>
  <c r="K185" i="21"/>
  <c r="K186" i="21"/>
  <c r="K187" i="21"/>
  <c r="K188" i="21"/>
  <c r="K189" i="21"/>
  <c r="K190" i="21"/>
  <c r="K191" i="21"/>
  <c r="K192" i="21"/>
  <c r="K193" i="21"/>
  <c r="K194" i="21"/>
  <c r="K195" i="21"/>
  <c r="K196" i="21"/>
  <c r="K197" i="21"/>
  <c r="K198" i="21"/>
  <c r="K199" i="21"/>
  <c r="K200" i="21"/>
  <c r="K201" i="21"/>
  <c r="K202" i="21"/>
  <c r="K203" i="21"/>
  <c r="K204" i="21"/>
  <c r="K205" i="21"/>
  <c r="K206" i="21"/>
  <c r="K207" i="21"/>
  <c r="K208" i="21"/>
  <c r="K209" i="21"/>
  <c r="K210" i="21"/>
  <c r="K211" i="21"/>
  <c r="K212" i="21"/>
  <c r="K213" i="21"/>
  <c r="K214" i="21"/>
  <c r="K215" i="21"/>
  <c r="K216" i="21"/>
  <c r="K217" i="21"/>
  <c r="K218" i="21"/>
  <c r="K219" i="21"/>
  <c r="K220" i="21"/>
  <c r="K221" i="21"/>
  <c r="K222" i="21"/>
  <c r="K223" i="21"/>
  <c r="K224" i="21"/>
  <c r="K225" i="21"/>
  <c r="K226" i="21"/>
  <c r="K227" i="21"/>
  <c r="K228" i="21"/>
  <c r="K229" i="21"/>
  <c r="K230" i="21"/>
  <c r="K231" i="21"/>
  <c r="K232" i="21"/>
  <c r="K233" i="21"/>
  <c r="K234" i="21"/>
  <c r="K2" i="21"/>
  <c r="K3" i="21"/>
  <c r="P123" i="21" l="1"/>
  <c r="P124" i="21"/>
  <c r="P125" i="21"/>
  <c r="P126" i="21"/>
  <c r="P127" i="21"/>
  <c r="P128" i="21"/>
  <c r="P129" i="21"/>
  <c r="P130" i="21"/>
  <c r="P131" i="21"/>
  <c r="P132" i="21"/>
  <c r="P133" i="21"/>
  <c r="P134" i="21"/>
  <c r="P135" i="21"/>
  <c r="P136" i="21"/>
  <c r="P137" i="21"/>
  <c r="P138" i="21"/>
  <c r="P139" i="21"/>
  <c r="P140" i="21"/>
  <c r="P141" i="21"/>
  <c r="P142" i="21"/>
  <c r="P143" i="21"/>
  <c r="P144" i="21"/>
  <c r="P145" i="21"/>
  <c r="P146" i="21"/>
  <c r="P147" i="21"/>
  <c r="P148" i="21"/>
  <c r="P149" i="21"/>
  <c r="P150" i="21"/>
  <c r="P151" i="21"/>
  <c r="P152" i="21"/>
  <c r="P153" i="21"/>
  <c r="P154" i="21"/>
  <c r="P155" i="21"/>
  <c r="P156" i="21"/>
  <c r="P157" i="21"/>
  <c r="P158" i="21"/>
  <c r="P159" i="21"/>
  <c r="P160" i="21"/>
  <c r="P161" i="21"/>
  <c r="P162" i="21"/>
  <c r="P163" i="21"/>
  <c r="P164" i="21"/>
  <c r="P165" i="21"/>
  <c r="P166" i="21"/>
  <c r="P167" i="21"/>
  <c r="P168" i="21"/>
  <c r="P169" i="21"/>
  <c r="P170" i="21"/>
  <c r="P171" i="21"/>
  <c r="P172" i="21"/>
  <c r="P173" i="21"/>
  <c r="P174" i="21"/>
  <c r="P175" i="21"/>
  <c r="P176" i="21"/>
  <c r="P177" i="21"/>
  <c r="P178" i="21"/>
  <c r="P179" i="21"/>
  <c r="P180" i="21"/>
  <c r="P181" i="21"/>
  <c r="P182" i="21"/>
  <c r="P183" i="21"/>
  <c r="P184" i="21"/>
  <c r="P185" i="21"/>
  <c r="P186" i="21"/>
  <c r="P187" i="21"/>
  <c r="P188" i="21"/>
  <c r="P189" i="21"/>
  <c r="P190" i="21"/>
  <c r="P191" i="21"/>
  <c r="P192" i="21"/>
  <c r="P193" i="21"/>
  <c r="P194" i="21"/>
  <c r="P195" i="21"/>
  <c r="P196" i="21"/>
  <c r="P197" i="21"/>
  <c r="P198" i="21"/>
  <c r="P199" i="21"/>
  <c r="P200" i="21"/>
  <c r="P201" i="21"/>
  <c r="P202" i="21"/>
  <c r="P203" i="21"/>
  <c r="P204" i="21"/>
  <c r="P205" i="21"/>
  <c r="P206" i="21"/>
  <c r="P207" i="21"/>
  <c r="P208" i="21"/>
  <c r="P209" i="21"/>
  <c r="P210" i="21"/>
  <c r="P211" i="21"/>
  <c r="P212" i="21"/>
  <c r="P213" i="21"/>
  <c r="P214" i="21"/>
  <c r="P215" i="21"/>
  <c r="P216" i="21"/>
  <c r="P217" i="21"/>
  <c r="P218" i="21"/>
  <c r="P219" i="21"/>
  <c r="P220" i="21"/>
  <c r="P221" i="21"/>
  <c r="P222" i="21"/>
  <c r="P223" i="21"/>
  <c r="P224" i="21"/>
  <c r="P225" i="21"/>
  <c r="P226" i="21"/>
  <c r="P227" i="21"/>
  <c r="P228" i="21"/>
  <c r="P229" i="21"/>
  <c r="P230" i="21"/>
  <c r="P231" i="21"/>
  <c r="P232" i="21"/>
  <c r="P233" i="21"/>
  <c r="P234" i="21"/>
  <c r="P26" i="21"/>
  <c r="P27" i="21"/>
  <c r="P28" i="21"/>
  <c r="P29" i="21"/>
  <c r="P30" i="21"/>
  <c r="P31" i="21"/>
  <c r="P32" i="21"/>
  <c r="P33" i="21"/>
  <c r="P34" i="21"/>
  <c r="P35" i="21"/>
  <c r="P36" i="21"/>
  <c r="P37" i="21"/>
  <c r="P38" i="21"/>
  <c r="P39" i="21"/>
  <c r="P40" i="21"/>
  <c r="P41" i="21"/>
  <c r="P42" i="21"/>
  <c r="P43" i="21"/>
  <c r="P44" i="21"/>
  <c r="P45" i="21"/>
  <c r="P46" i="21"/>
  <c r="P47" i="21"/>
  <c r="P48" i="21"/>
  <c r="P49" i="21"/>
  <c r="P50" i="21"/>
  <c r="P51" i="21"/>
  <c r="P52" i="21"/>
  <c r="P53" i="21"/>
  <c r="P54" i="21"/>
  <c r="P55" i="21"/>
  <c r="P56" i="21"/>
  <c r="P57" i="21"/>
  <c r="P58" i="21"/>
  <c r="P59" i="21"/>
  <c r="P60" i="21"/>
  <c r="P61" i="21"/>
  <c r="P62" i="21"/>
  <c r="P63" i="21"/>
  <c r="P64" i="21"/>
  <c r="P65" i="21"/>
  <c r="P66" i="21"/>
  <c r="P67" i="21"/>
  <c r="P68" i="21"/>
  <c r="P69" i="21"/>
  <c r="P70" i="21"/>
  <c r="P71" i="21"/>
  <c r="P72" i="21"/>
  <c r="P73" i="21"/>
  <c r="P74" i="21"/>
  <c r="P75" i="21"/>
  <c r="P76" i="21"/>
  <c r="P77" i="21"/>
  <c r="P78" i="21"/>
  <c r="P79" i="21"/>
  <c r="P80" i="21"/>
  <c r="P81" i="21"/>
  <c r="P82" i="21"/>
  <c r="P83" i="21"/>
  <c r="P84" i="21"/>
  <c r="P85" i="21"/>
  <c r="P86" i="21"/>
  <c r="P87" i="21"/>
  <c r="P88" i="21"/>
  <c r="P89" i="21"/>
  <c r="P90" i="21"/>
  <c r="P91" i="21"/>
  <c r="P92" i="21"/>
  <c r="P93" i="21"/>
  <c r="P94" i="21"/>
  <c r="P95" i="21"/>
  <c r="P96" i="21"/>
  <c r="P97" i="21"/>
  <c r="P98" i="21"/>
  <c r="P99" i="21"/>
  <c r="P100" i="21"/>
  <c r="P101" i="21"/>
  <c r="P102" i="21"/>
  <c r="P103" i="21"/>
  <c r="P104" i="21"/>
  <c r="P105" i="21"/>
  <c r="P106" i="21"/>
  <c r="P107" i="21"/>
  <c r="P108" i="21"/>
  <c r="P109" i="21"/>
  <c r="P110" i="21"/>
  <c r="P111" i="21"/>
  <c r="P112" i="21"/>
  <c r="P113" i="21"/>
  <c r="P114" i="21"/>
  <c r="P115" i="21"/>
  <c r="P116" i="21"/>
  <c r="P117" i="21"/>
  <c r="P118" i="21"/>
  <c r="P119" i="21"/>
  <c r="P120" i="21"/>
  <c r="P121" i="21"/>
  <c r="P122" i="21"/>
  <c r="P3" i="21"/>
  <c r="P4" i="21"/>
  <c r="P5" i="21"/>
  <c r="P6" i="21"/>
  <c r="P7" i="21"/>
  <c r="P8" i="21"/>
  <c r="P9" i="21"/>
  <c r="P10" i="21"/>
  <c r="P11" i="21"/>
  <c r="P12" i="21"/>
  <c r="P13" i="21"/>
  <c r="P14" i="21"/>
  <c r="P15" i="21"/>
  <c r="P16" i="21"/>
  <c r="P17" i="21"/>
  <c r="P18" i="21"/>
  <c r="P19" i="21"/>
  <c r="P20" i="21"/>
  <c r="P21" i="21"/>
  <c r="P22" i="21"/>
  <c r="P23" i="21"/>
  <c r="P24" i="21"/>
  <c r="P25" i="21"/>
  <c r="P2" i="21"/>
</calcChain>
</file>

<file path=xl/comments1.xml><?xml version="1.0" encoding="utf-8"?>
<comments xmlns="http://schemas.openxmlformats.org/spreadsheetml/2006/main">
  <authors>
    <author>Author</author>
  </authors>
  <commentList>
    <comment ref="R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1) Not all models were ran. This will naturally be filtered down since we have all of the output datafiles from when they were ran.
2) Assuming storage costs = 0 b/c of download speeds, still requires consuming container storage (requested ahead of time). This can be future work.</t>
        </r>
      </text>
    </comment>
  </commentList>
</comments>
</file>

<file path=xl/sharedStrings.xml><?xml version="1.0" encoding="utf-8"?>
<sst xmlns="http://schemas.openxmlformats.org/spreadsheetml/2006/main" count="4640" uniqueCount="663">
  <si>
    <t>Location</t>
  </si>
  <si>
    <t>HuggingFace</t>
  </si>
  <si>
    <t>Gemma 2</t>
  </si>
  <si>
    <t>4-bit</t>
  </si>
  <si>
    <t>8-bit</t>
  </si>
  <si>
    <t>Model Creator</t>
  </si>
  <si>
    <t>Model Path on HF</t>
  </si>
  <si>
    <t>Model Name on HF</t>
  </si>
  <si>
    <t>Quantization</t>
  </si>
  <si>
    <t>Precision</t>
  </si>
  <si>
    <t>Size Source</t>
  </si>
  <si>
    <t>Y</t>
  </si>
  <si>
    <t>N</t>
  </si>
  <si>
    <t>F32</t>
  </si>
  <si>
    <t>Phi-3.5-mini-instruct</t>
  </si>
  <si>
    <t>Falcon</t>
  </si>
  <si>
    <t>Mistral-7B-Instruct-v0.3</t>
  </si>
  <si>
    <t>Mistral-Large-Instruct-2407</t>
  </si>
  <si>
    <t>Used in NPS ARS?</t>
  </si>
  <si>
    <t>Meta-Llama-3.1-8B-Instruct</t>
  </si>
  <si>
    <t>Meta-Llama 3.1</t>
  </si>
  <si>
    <t>Bartowski</t>
  </si>
  <si>
    <t>bartowski/Meta-Llama-3.1-8B-Instruct-GGUF</t>
  </si>
  <si>
    <t>Q8_0</t>
  </si>
  <si>
    <t>8.54 GB</t>
  </si>
  <si>
    <t>Q6_K_L</t>
  </si>
  <si>
    <t>6.85 GB</t>
  </si>
  <si>
    <t>Q6_K</t>
  </si>
  <si>
    <t>Q5_K_L</t>
  </si>
  <si>
    <t>6.06 GB</t>
  </si>
  <si>
    <t>Q5_K_M</t>
  </si>
  <si>
    <t>5.73 GB</t>
  </si>
  <si>
    <t>Q5_K_S</t>
  </si>
  <si>
    <t>Q4_K_L</t>
  </si>
  <si>
    <t>5.31 GB</t>
  </si>
  <si>
    <t>Q4_K_M</t>
  </si>
  <si>
    <t>4.92 GB</t>
  </si>
  <si>
    <t>Q4_K_S</t>
  </si>
  <si>
    <t>4.69 GB</t>
  </si>
  <si>
    <t>Q3_K_XL</t>
  </si>
  <si>
    <t>4.78 GB</t>
  </si>
  <si>
    <t>6-bit</t>
  </si>
  <si>
    <t>5-bit</t>
  </si>
  <si>
    <t>3-bit</t>
  </si>
  <si>
    <t>32-bit</t>
  </si>
  <si>
    <t>16-bit</t>
  </si>
  <si>
    <t>Meta-Llama-3.1-8B-Instruct-GGUF</t>
  </si>
  <si>
    <t>Meta-Llama-3.1-70B-Instruct</t>
  </si>
  <si>
    <t>bartowski/Meta-Llama-3.1-70B-Instruct-GGUF</t>
  </si>
  <si>
    <t>74.98 GB</t>
  </si>
  <si>
    <t>58.40 GB</t>
  </si>
  <si>
    <t>57.89 GB</t>
  </si>
  <si>
    <t>50.60 GB</t>
  </si>
  <si>
    <t>49.95 GB</t>
  </si>
  <si>
    <t>48.66 GB</t>
  </si>
  <si>
    <t>43.30 GB</t>
  </si>
  <si>
    <t>42.52 GB</t>
  </si>
  <si>
    <t>40.35 GB</t>
  </si>
  <si>
    <t>38.06 GB</t>
  </si>
  <si>
    <t>IQ4_XS</t>
  </si>
  <si>
    <t>37.90 GB</t>
  </si>
  <si>
    <t>Q3_K_L</t>
  </si>
  <si>
    <t>37.14 GB</t>
  </si>
  <si>
    <t>Q3_K_M</t>
  </si>
  <si>
    <t>34.27 GB</t>
  </si>
  <si>
    <t>IQ3_M</t>
  </si>
  <si>
    <t>31.94 GB</t>
  </si>
  <si>
    <t>Q3_K_S</t>
  </si>
  <si>
    <t>30.91 GB</t>
  </si>
  <si>
    <t>IQ3_XS</t>
  </si>
  <si>
    <t>29.31 GB</t>
  </si>
  <si>
    <t>Q2_K_L</t>
  </si>
  <si>
    <t>27.40 GB</t>
  </si>
  <si>
    <t>Q2_K</t>
  </si>
  <si>
    <t>26.38 GB</t>
  </si>
  <si>
    <t>IQ2_M</t>
  </si>
  <si>
    <t>24.12 GB</t>
  </si>
  <si>
    <t>IQ2_S</t>
  </si>
  <si>
    <t>22.24 GB</t>
  </si>
  <si>
    <t>IQ2_XS</t>
  </si>
  <si>
    <t>21.14 GB</t>
  </si>
  <si>
    <t>IQ2_XXS</t>
  </si>
  <si>
    <t>19.10 GB</t>
  </si>
  <si>
    <t>IQ1_M</t>
  </si>
  <si>
    <t>16.75 GB</t>
  </si>
  <si>
    <t>Meta-Llama-3.1-70B-Instruct-GGUF</t>
  </si>
  <si>
    <t>Phi 3.5</t>
  </si>
  <si>
    <t>bartowski/Phi-3.5-mini-instruct-GGUF</t>
  </si>
  <si>
    <t>15.29 GB</t>
  </si>
  <si>
    <t>4.06 GB</t>
  </si>
  <si>
    <t>3.18 GB</t>
  </si>
  <si>
    <t>3.14 GB</t>
  </si>
  <si>
    <t>2.88 GB</t>
  </si>
  <si>
    <t>2.82 GB</t>
  </si>
  <si>
    <t>2.64 GB</t>
  </si>
  <si>
    <t>2.47 GB</t>
  </si>
  <si>
    <t>2.39 GB</t>
  </si>
  <si>
    <t>2.19 GB</t>
  </si>
  <si>
    <t>Q4_0_8_8</t>
  </si>
  <si>
    <t>2.18 GB</t>
  </si>
  <si>
    <t>Q4_0_4_8</t>
  </si>
  <si>
    <t>Q4_0_4_4</t>
  </si>
  <si>
    <t>Q4_0</t>
  </si>
  <si>
    <t>2.17 GB</t>
  </si>
  <si>
    <t>2.09 GB</t>
  </si>
  <si>
    <t>2.06 GB</t>
  </si>
  <si>
    <t>1.96 GB</t>
  </si>
  <si>
    <t>1.86 GB</t>
  </si>
  <si>
    <t>1.68 GB</t>
  </si>
  <si>
    <t>1.63 GB</t>
  </si>
  <si>
    <t>1.51 GB</t>
  </si>
  <si>
    <t>1.42 GB</t>
  </si>
  <si>
    <t>1.32 GB</t>
  </si>
  <si>
    <t>Phi-3.5-mini-instruct-GGUF</t>
  </si>
  <si>
    <t>2-bit</t>
  </si>
  <si>
    <t>1-bit</t>
  </si>
  <si>
    <t>Llama-3.3-70B-Instruct</t>
  </si>
  <si>
    <t>Llama 3.3</t>
  </si>
  <si>
    <t>bartowski/Llama-3.3-70B-Instruct-GGUF</t>
  </si>
  <si>
    <t>F16</t>
  </si>
  <si>
    <t>141.12 GB</t>
  </si>
  <si>
    <t>40.12 GB</t>
  </si>
  <si>
    <t>IQ4_NL</t>
  </si>
  <si>
    <t>40.05 GB</t>
  </si>
  <si>
    <t>39.97 GB</t>
  </si>
  <si>
    <t>IQ3_XXS</t>
  </si>
  <si>
    <t>27.47 GB</t>
  </si>
  <si>
    <t>Llama-3.3-70B-Instruct-GGUF</t>
  </si>
  <si>
    <t>Qwen2.5-32B-Instruct</t>
  </si>
  <si>
    <t>Qwen 2.5</t>
  </si>
  <si>
    <t>bartowski/Qwen2.5-32B-Instruct-GGUF</t>
  </si>
  <si>
    <t>65.54 GB</t>
  </si>
  <si>
    <t>34.82 GB</t>
  </si>
  <si>
    <t>27.26 GB</t>
  </si>
  <si>
    <t>26.89 GB</t>
  </si>
  <si>
    <t>23.74 GB</t>
  </si>
  <si>
    <t>23.26 GB</t>
  </si>
  <si>
    <t>22.64 GB</t>
  </si>
  <si>
    <t>20.43 GB</t>
  </si>
  <si>
    <t>19.85 GB</t>
  </si>
  <si>
    <t>18.78 GB</t>
  </si>
  <si>
    <t>18.71 GB</t>
  </si>
  <si>
    <t>18.64 GB</t>
  </si>
  <si>
    <t>17.93 GB</t>
  </si>
  <si>
    <t>17.69 GB</t>
  </si>
  <si>
    <t>17.25 GB</t>
  </si>
  <si>
    <t>15.94 GB</t>
  </si>
  <si>
    <t>14.81 GB</t>
  </si>
  <si>
    <t>14.39 GB</t>
  </si>
  <si>
    <t>13.71 GB</t>
  </si>
  <si>
    <t>13.07 GB</t>
  </si>
  <si>
    <t>12.31 GB</t>
  </si>
  <si>
    <t>11.26 GB</t>
  </si>
  <si>
    <t>10.39 GB</t>
  </si>
  <si>
    <t>9.96 GB</t>
  </si>
  <si>
    <t>9.03 GB</t>
  </si>
  <si>
    <t>Mistral Large</t>
  </si>
  <si>
    <t>bartowski/Mistral-Large-Instruct-2407-GGUF</t>
  </si>
  <si>
    <t>130.28 GB</t>
  </si>
  <si>
    <t>100.59 GB</t>
  </si>
  <si>
    <t>86.49 GB</t>
  </si>
  <si>
    <t>73.22 GB</t>
  </si>
  <si>
    <t>69.57 GB</t>
  </si>
  <si>
    <t>69.32 GB</t>
  </si>
  <si>
    <t>69.08 GB</t>
  </si>
  <si>
    <t>65.43 GB</t>
  </si>
  <si>
    <t>64.91 GB</t>
  </si>
  <si>
    <t>64.55 GB</t>
  </si>
  <si>
    <t>59.10 GB</t>
  </si>
  <si>
    <t>55.28 GB</t>
  </si>
  <si>
    <t>52.85 GB</t>
  </si>
  <si>
    <t>47.01 GB</t>
  </si>
  <si>
    <t>45.59 GB</t>
  </si>
  <si>
    <t>45.20 GB</t>
  </si>
  <si>
    <t>41.62 GB</t>
  </si>
  <si>
    <t>36.08 GB</t>
  </si>
  <si>
    <t>32.43 GB</t>
  </si>
  <si>
    <t>28.39 GB</t>
  </si>
  <si>
    <t>Mistral 7B</t>
  </si>
  <si>
    <t>bartowski/Mistral-7B-Instruct-v0.3-GGUF</t>
  </si>
  <si>
    <t>7.70 GB</t>
  </si>
  <si>
    <t>5.94 GB</t>
  </si>
  <si>
    <t>5.13 GB</t>
  </si>
  <si>
    <t>5.00 GB</t>
  </si>
  <si>
    <t>4.37 GB</t>
  </si>
  <si>
    <t>4.14 GB</t>
  </si>
  <si>
    <t>4.13 GB</t>
  </si>
  <si>
    <t>3.91 GB</t>
  </si>
  <si>
    <t>3.82 GB</t>
  </si>
  <si>
    <t>3.52 GB</t>
  </si>
  <si>
    <t>3.28 GB</t>
  </si>
  <si>
    <t>IQ3_S</t>
  </si>
  <si>
    <t>3.16 GB</t>
  </si>
  <si>
    <t>3.02 GB</t>
  </si>
  <si>
    <t>2.83 GB</t>
  </si>
  <si>
    <t>2.72 GB</t>
  </si>
  <si>
    <t>2.50 GB</t>
  </si>
  <si>
    <t>2.31 GB</t>
  </si>
  <si>
    <t>2.20 GB</t>
  </si>
  <si>
    <t>1.99 GB</t>
  </si>
  <si>
    <t>1.75 GB</t>
  </si>
  <si>
    <t>IQ1_S</t>
  </si>
  <si>
    <t>1.61 GB</t>
  </si>
  <si>
    <t>Mistral-Large-Instruct-2407-GGUF</t>
  </si>
  <si>
    <t>Qwen2.5-32B-Instruct-GGUF</t>
  </si>
  <si>
    <t>Mistral-7B-Instruct-v0.3-GGUF</t>
  </si>
  <si>
    <t>Falcon-11B</t>
  </si>
  <si>
    <t>bartowski/falcon-11B-GGUF</t>
  </si>
  <si>
    <t>11.80 GB</t>
  </si>
  <si>
    <t>9.17 GB</t>
  </si>
  <si>
    <t>8.20 GB</t>
  </si>
  <si>
    <t>7.73 GB</t>
  </si>
  <si>
    <t>6.84 GB</t>
  </si>
  <si>
    <t>6.38 GB</t>
  </si>
  <si>
    <t>6.04 GB</t>
  </si>
  <si>
    <t>5.81 GB</t>
  </si>
  <si>
    <t>5.43 GB</t>
  </si>
  <si>
    <t>5.20 GB</t>
  </si>
  <si>
    <t>4.94 GB</t>
  </si>
  <si>
    <t>4.80 GB</t>
  </si>
  <si>
    <t>4.44 GB</t>
  </si>
  <si>
    <t>4.25 GB</t>
  </si>
  <si>
    <t>3.94 GB</t>
  </si>
  <si>
    <t>3.66 GB</t>
  </si>
  <si>
    <t>3.44 GB</t>
  </si>
  <si>
    <t>3.13 GB</t>
  </si>
  <si>
    <t>2.77 GB</t>
  </si>
  <si>
    <t>2.56 GB</t>
  </si>
  <si>
    <t>Falcon-11B-GGUF</t>
  </si>
  <si>
    <t>FM Family</t>
  </si>
  <si>
    <t>Foundation Model (FM) Name</t>
  </si>
  <si>
    <t>FM Release Date</t>
  </si>
  <si>
    <t>Model Size (GB)</t>
  </si>
  <si>
    <t>Parameter Size (Billion Parameters)</t>
  </si>
  <si>
    <t>HuggingFace First Commit</t>
  </si>
  <si>
    <t>Gemma-2-27B-it</t>
  </si>
  <si>
    <t>bartowski/gemma-2-27b-it-GGUF</t>
  </si>
  <si>
    <t>108.91 GB</t>
  </si>
  <si>
    <t>28.94 GB</t>
  </si>
  <si>
    <t>22.63 GB</t>
  </si>
  <si>
    <t>22.34 GB</t>
  </si>
  <si>
    <t>19.69 GB</t>
  </si>
  <si>
    <t>19.41 GB</t>
  </si>
  <si>
    <t>18.88 GB</t>
  </si>
  <si>
    <t>16.93 GB</t>
  </si>
  <si>
    <t>16.65 GB</t>
  </si>
  <si>
    <t>15.74 GB</t>
  </si>
  <si>
    <t>14.52 GB</t>
  </si>
  <si>
    <t>13.42 GB</t>
  </si>
  <si>
    <t>12.45 GB</t>
  </si>
  <si>
    <t>12.17 GB</t>
  </si>
  <si>
    <t>11.55 GB</t>
  </si>
  <si>
    <t>10.75 GB</t>
  </si>
  <si>
    <t>10.74 GB</t>
  </si>
  <si>
    <t>10.45 GB</t>
  </si>
  <si>
    <t>9.40 GB</t>
  </si>
  <si>
    <t>Meta Llama 3.1</t>
  </si>
  <si>
    <t>32.13 GB</t>
  </si>
  <si>
    <t>6.60 GB</t>
  </si>
  <si>
    <t>5.60 GB</t>
  </si>
  <si>
    <t>4.68 GB</t>
  </si>
  <si>
    <t>4.66 GB</t>
  </si>
  <si>
    <t>4.45 GB</t>
  </si>
  <si>
    <t>4.32 GB</t>
  </si>
  <si>
    <t>4.02 GB</t>
  </si>
  <si>
    <t>3.78 GB</t>
  </si>
  <si>
    <t>3.69 GB</t>
  </si>
  <si>
    <t>2.95 GB</t>
  </si>
  <si>
    <t>Phi-3-medium-4k-instruct</t>
  </si>
  <si>
    <t>Phi-3</t>
  </si>
  <si>
    <t>bartowski/Phi-3-medium-4k-instruct-GGUF</t>
  </si>
  <si>
    <t>55.84 GB</t>
  </si>
  <si>
    <t>14.83 GB</t>
  </si>
  <si>
    <t>11.53 GB</t>
  </si>
  <si>
    <t>11.45 GB</t>
  </si>
  <si>
    <t>10.18 GB</t>
  </si>
  <si>
    <t>10.07 GB</t>
  </si>
  <si>
    <t>9.62 GB</t>
  </si>
  <si>
    <t>8.69 GB</t>
  </si>
  <si>
    <t>8.57 GB</t>
  </si>
  <si>
    <t>7.95 GB</t>
  </si>
  <si>
    <t>7.63 GB</t>
  </si>
  <si>
    <t>7.49 GB</t>
  </si>
  <si>
    <t>7.47 GB</t>
  </si>
  <si>
    <t>6.92 GB</t>
  </si>
  <si>
    <t>6.47 GB</t>
  </si>
  <si>
    <t>5.30 GB</t>
  </si>
  <si>
    <t>5.14 GB</t>
  </si>
  <si>
    <t>4.72 GB</t>
  </si>
  <si>
    <t>Phi-3-medium-4k-instruct-GGUF</t>
  </si>
  <si>
    <t>Ran for Wiley?</t>
  </si>
  <si>
    <t>Ollama Command</t>
  </si>
  <si>
    <t>Batch 4</t>
  </si>
  <si>
    <t>Batch 1</t>
  </si>
  <si>
    <t>Batch 2 (verify out)</t>
  </si>
  <si>
    <t>Batch 3 (verify out)</t>
  </si>
  <si>
    <t># of A40 48GB GPUs</t>
  </si>
  <si>
    <t>running</t>
  </si>
  <si>
    <t>Precision Bits</t>
  </si>
  <si>
    <t>Ran?</t>
  </si>
  <si>
    <t>Model Name</t>
  </si>
  <si>
    <t>Number of Bits</t>
  </si>
  <si>
    <t>Notes</t>
  </si>
  <si>
    <t>70b-instruct-fp16</t>
  </si>
  <si>
    <t>None</t>
  </si>
  <si>
    <t>FP16</t>
  </si>
  <si>
    <t>llama3.3:70b-instruct-fp16</t>
  </si>
  <si>
    <t>70b-instruct-q2_K</t>
  </si>
  <si>
    <t>INT2</t>
  </si>
  <si>
    <t>llama3.3:70b-instruct-q2_K</t>
  </si>
  <si>
    <t>70b-instruct-q3_K_M</t>
  </si>
  <si>
    <t>INT3</t>
  </si>
  <si>
    <t>llama3.3:70b-instruct-q3_K_M</t>
  </si>
  <si>
    <t>70b-instruct-q3_K_S</t>
  </si>
  <si>
    <t>llama3.3:70b-instruct-q3_K_S</t>
  </si>
  <si>
    <t>70b-instruct-q4_0</t>
  </si>
  <si>
    <t>INT4</t>
  </si>
  <si>
    <t>llama3.3:70b-instruct-q4_0</t>
  </si>
  <si>
    <t>70b-instruct-q4_1</t>
  </si>
  <si>
    <t>Q4_1</t>
  </si>
  <si>
    <t>llama3.3:70b-instruct-q4_1</t>
  </si>
  <si>
    <t>70b-instruct-q4_K_M</t>
  </si>
  <si>
    <t>llama3.3:70b-instruct-q4_K_M</t>
  </si>
  <si>
    <t>70b-instruct-q4_K_S</t>
  </si>
  <si>
    <t>llama3.3:70b-instruct-q4_K_S</t>
  </si>
  <si>
    <t>70b-instruct-q5_0</t>
  </si>
  <si>
    <t>Q5_0</t>
  </si>
  <si>
    <t>INT5</t>
  </si>
  <si>
    <t>llama3.3:70b-instruct-q5_0</t>
  </si>
  <si>
    <t>70b-instruct-q5_1</t>
  </si>
  <si>
    <t>Q5_1</t>
  </si>
  <si>
    <t>llama3.3:70b-instruct-q5_1</t>
  </si>
  <si>
    <t>70b-instruct-q5_K_M</t>
  </si>
  <si>
    <t>llama3.3:70b-instruct-q5_K_M</t>
  </si>
  <si>
    <t>70b-instruct-q6_K</t>
  </si>
  <si>
    <t>INT6</t>
  </si>
  <si>
    <t>llama3.3:70b-instruct-q6_K</t>
  </si>
  <si>
    <t>70b-instruct-q8_0</t>
  </si>
  <si>
    <t>INT8</t>
  </si>
  <si>
    <t>llama3.3:70b-instruct-q8_0</t>
  </si>
  <si>
    <t>Llama 3.2</t>
  </si>
  <si>
    <t>1b-instruct-fp16</t>
  </si>
  <si>
    <t>llama3.2:1b-instruct-fp16</t>
  </si>
  <si>
    <t>1b-instruct-q2_K</t>
  </si>
  <si>
    <t>llama3.2:1b-instruct-q2_K</t>
  </si>
  <si>
    <t>1b-instruct-q3_K_L</t>
  </si>
  <si>
    <t>llama3.2:1b-instruct-q3_K_L</t>
  </si>
  <si>
    <t>1b-instruct-q3_K_M</t>
  </si>
  <si>
    <t>llama3.2:1b-instruct-q3_K_M</t>
  </si>
  <si>
    <t>1b-instruct-q3_K_S</t>
  </si>
  <si>
    <t>llama3.2:1b-instruct-q3_K_S</t>
  </si>
  <si>
    <t>1b-instruct-q4_0</t>
  </si>
  <si>
    <t>llama3.2:1b-instruct-q4_0</t>
  </si>
  <si>
    <t>1b-instruct-q4_1</t>
  </si>
  <si>
    <t>llama3.2:1b-instruct-q4_1</t>
  </si>
  <si>
    <t>1b-instruct-q4_K_M</t>
  </si>
  <si>
    <t>llama3.2:1b-instruct-q4_K_M</t>
  </si>
  <si>
    <t>1b-instruct-q4_K_S</t>
  </si>
  <si>
    <t>llama3.2:1b-instruct-q4_K_S</t>
  </si>
  <si>
    <t>1b-instruct-q5_0</t>
  </si>
  <si>
    <t>llama3.2:1b-instruct-q5_0</t>
  </si>
  <si>
    <t>1b-instruct-q5_1</t>
  </si>
  <si>
    <t>llama3.2:1b-instruct-q5_1</t>
  </si>
  <si>
    <t>1b-instruct-q5_K_M</t>
  </si>
  <si>
    <t>llama3.2:1b-instruct-q5_K_M</t>
  </si>
  <si>
    <t>1b-instruct-q5_K_S</t>
  </si>
  <si>
    <t>llama3.2:1b-instruct-q5_K_S</t>
  </si>
  <si>
    <t>1b-instruct-q6_K</t>
  </si>
  <si>
    <t>llama3.2:1b-instruct-q6_K</t>
  </si>
  <si>
    <t>3b-instruct-fp16</t>
  </si>
  <si>
    <t>llama3.2:3b-instruct-fp16</t>
  </si>
  <si>
    <t>3b-instruct-q2_K</t>
  </si>
  <si>
    <t>llama3.2:3b-instruct-q2_K</t>
  </si>
  <si>
    <t>3b-instruct-q3_K_L</t>
  </si>
  <si>
    <t>llama3.2:3b-instruct-q3_K_L</t>
  </si>
  <si>
    <t>3b-instruct-q3_K_M</t>
  </si>
  <si>
    <t>llama3.2:3b-instruct-q3_K_M</t>
  </si>
  <si>
    <t>3b-instruct-q3_K_S</t>
  </si>
  <si>
    <t>llama3.2:3b-instruct-q3_K_S</t>
  </si>
  <si>
    <t>3b-instruct-q4_0</t>
  </si>
  <si>
    <t>llama3.2:3b-instruct-q4_0</t>
  </si>
  <si>
    <t>3b-instruct-q4_1</t>
  </si>
  <si>
    <t>llama3.2:3b-instruct-q4_1</t>
  </si>
  <si>
    <t>3b-instruct-q4_K_M</t>
  </si>
  <si>
    <t>llama3.2:3b-instruct-q4_K_M</t>
  </si>
  <si>
    <t>3b-instruct-q4_K_S</t>
  </si>
  <si>
    <t>llama3.2:3b-instruct-q4_K_S</t>
  </si>
  <si>
    <t>3b-instruct-q5_0</t>
  </si>
  <si>
    <t>llama3.2:3b-instruct-q5_0</t>
  </si>
  <si>
    <t>3b-instruct-q5_1</t>
  </si>
  <si>
    <t>llama3.2:3b-instruct-q5_1</t>
  </si>
  <si>
    <t>3b-instruct-q5_K_M</t>
  </si>
  <si>
    <t>llama3.2:3b-instruct-q5_K_M</t>
  </si>
  <si>
    <t>3b-instruct-q5_K_S</t>
  </si>
  <si>
    <t>llama3.2:3b-instruct-q5_K_S</t>
  </si>
  <si>
    <t>3b-instruct-q6_K</t>
  </si>
  <si>
    <t>llama3.2:3b-instruct-q6_K</t>
  </si>
  <si>
    <t>3.8b-mini-instruct-fp16</t>
  </si>
  <si>
    <t>phi3.5:3.8b-mini-instruct-fp16</t>
  </si>
  <si>
    <t>3.8b-mini-instruct-q2_K</t>
  </si>
  <si>
    <t>phi3.5:3.8b-mini-instruct-q2_K</t>
  </si>
  <si>
    <t>3.8b-mini-instruct-q3_K_L</t>
  </si>
  <si>
    <t>phi3.5:3.8b-mini-instruct-q3_K_L</t>
  </si>
  <si>
    <t>3.8b-mini-instruct-q3_K_M</t>
  </si>
  <si>
    <t>phi3.5:3.8b-mini-instruct-q3_K_M</t>
  </si>
  <si>
    <t>3.8b-mini-instruct-q3_K_S</t>
  </si>
  <si>
    <t>phi3.5:3.8b-mini-instruct-q3_K_S</t>
  </si>
  <si>
    <t>3.8b-mini-instruct-q4_0</t>
  </si>
  <si>
    <t>phi3.5:3.8b-mini-instruct-q4_0</t>
  </si>
  <si>
    <t>3.8b-mini-instruct-q4_1</t>
  </si>
  <si>
    <t>phi3.5:3.8b-mini-instruct-q4_1</t>
  </si>
  <si>
    <t>3.8b-mini-instruct-q4_K_M</t>
  </si>
  <si>
    <t>phi3.5:3.8b-mini-instruct-q4_K_M</t>
  </si>
  <si>
    <t>3.8b-mini-instruct-q4_K_S</t>
  </si>
  <si>
    <t>phi3.5:3.8b-mini-instruct-q4_K_S</t>
  </si>
  <si>
    <t>3.8b-mini-instruct-q5_0</t>
  </si>
  <si>
    <t>phi3.5:3.8b-mini-instruct-q5_0</t>
  </si>
  <si>
    <t>3.8b-mini-instruct-q5_1</t>
  </si>
  <si>
    <t>phi3.5:3.8b-mini-instruct-q5_1</t>
  </si>
  <si>
    <t>3.8b-mini-instruct-q5_K_M</t>
  </si>
  <si>
    <t>phi3.5:3.8b-mini-instruct-q5_K_M</t>
  </si>
  <si>
    <t>3.8b-mini-instruct-q5_K_S</t>
  </si>
  <si>
    <t>phi3.5:3.8b-mini-instruct-q5_K_S</t>
  </si>
  <si>
    <t>3.8b-mini-instruct-q6_K</t>
  </si>
  <si>
    <t>phi3.5:3.8b-mini-instruct-q6_K</t>
  </si>
  <si>
    <t>3.8b-mini-instruct-q8_0</t>
  </si>
  <si>
    <t>phi3.5:3.8b-mini-instruct-q8_0</t>
  </si>
  <si>
    <t>32b-instruct</t>
  </si>
  <si>
    <t>FP32</t>
  </si>
  <si>
    <t>qwen2.5:32b-instruct</t>
  </si>
  <si>
    <t>32b-instruct-fp16</t>
  </si>
  <si>
    <t>qwen2.5:32b-instruct-fp16</t>
  </si>
  <si>
    <t>32b-instruct-q2_K</t>
  </si>
  <si>
    <t>qwen2.5:32b-instruct-q2_K</t>
  </si>
  <si>
    <t>32b-instruct-q3_K_L</t>
  </si>
  <si>
    <t>qwen2.5:32b-instruct-q3_K_L</t>
  </si>
  <si>
    <t>32b-instruct-q3_K_M</t>
  </si>
  <si>
    <t>qwen2.5:32b-instruct-q3_K_M</t>
  </si>
  <si>
    <t>32b-instruct-q3_K_S</t>
  </si>
  <si>
    <t>qwen2.5:32b-instruct-q3_K_S</t>
  </si>
  <si>
    <t>32b-instruct-q4_0</t>
  </si>
  <si>
    <t>qwen2.5:32b-instruct-q4_0</t>
  </si>
  <si>
    <t>32b-instruct-q4_1</t>
  </si>
  <si>
    <t>qwen2.5:32b-instruct-q4_1</t>
  </si>
  <si>
    <t>32b-instruct-q4_K_M</t>
  </si>
  <si>
    <t>qwen2.5:32b-instruct-q4_K_M</t>
  </si>
  <si>
    <t>32b-instruct-q4_K_S</t>
  </si>
  <si>
    <t>qwen2.5:32b-instruct-q4_K_S</t>
  </si>
  <si>
    <t>32b-instruct-q5_0</t>
  </si>
  <si>
    <t>qwen2.5:32b-instruct-q5_0</t>
  </si>
  <si>
    <t>32b-instruct-q5_1</t>
  </si>
  <si>
    <t>qwen2.5:32b-instruct-q5_1</t>
  </si>
  <si>
    <t>32b-instruct-q5_K_M</t>
  </si>
  <si>
    <t>qwen2.5:32b-instruct-q5_K_M</t>
  </si>
  <si>
    <t>32b-instruct-q5_K_S</t>
  </si>
  <si>
    <t>qwen2.5:32b-instruct-q5_K_S</t>
  </si>
  <si>
    <t>32b-instruct-q6_K</t>
  </si>
  <si>
    <t>qwen2.5:32b-instruct-q6_K</t>
  </si>
  <si>
    <t>32b-instruct-q8_0</t>
  </si>
  <si>
    <t>qwen2.5:32b-instruct-q8_0</t>
  </si>
  <si>
    <t>14b-instruct</t>
  </si>
  <si>
    <t>qwen2.5:14b-instruct</t>
  </si>
  <si>
    <t>14b-instruct-fp16</t>
  </si>
  <si>
    <t>qwen2.5:14b-instruct-fp16</t>
  </si>
  <si>
    <t>14b-instruct-q2_K</t>
  </si>
  <si>
    <t>qwen2.5:14b-instruct-q2_K</t>
  </si>
  <si>
    <t>14b-instruct-q3_K_L</t>
  </si>
  <si>
    <t>qwen2.5:14b-instruct-q3_K_L</t>
  </si>
  <si>
    <t>14b-instruct-q3_K_M</t>
  </si>
  <si>
    <t>qwen2.5:14b-instruct-q3_K_M</t>
  </si>
  <si>
    <t>14b-instruct-q3_K_S</t>
  </si>
  <si>
    <t>qwen2.5:14b-instruct-q3_K_S</t>
  </si>
  <si>
    <t>14b-instruct-q4_0</t>
  </si>
  <si>
    <t>qwen2.5:14b-instruct-q4_0</t>
  </si>
  <si>
    <t>14b-instruct-q4_1</t>
  </si>
  <si>
    <t>qwen2.5:14b-instruct-q4_1</t>
  </si>
  <si>
    <t>14b-instruct-q4_K_M</t>
  </si>
  <si>
    <t>qwen2.5:14b-instruct-q4_K_M</t>
  </si>
  <si>
    <t>14b-instruct-q4_K_S</t>
  </si>
  <si>
    <t>qwen2.5:14b-instruct-q4_K_S</t>
  </si>
  <si>
    <t>14b-instruct-q5_0</t>
  </si>
  <si>
    <t>qwen2.5:14b-instruct-q5_0</t>
  </si>
  <si>
    <t>14b-instruct-q5_1</t>
  </si>
  <si>
    <t>qwen2.5:14b-instruct-q5_1</t>
  </si>
  <si>
    <t>14b-instruct-q5_K_M</t>
  </si>
  <si>
    <t>qwen2.5:14b-instruct-q5_K_M</t>
  </si>
  <si>
    <t>14b-instruct-q5_K_S</t>
  </si>
  <si>
    <t>qwen2.5:14b-instruct-q5_K_S</t>
  </si>
  <si>
    <t>14b-instruct-q6_K</t>
  </si>
  <si>
    <t>qwen2.5:14b-instruct-q6_K</t>
  </si>
  <si>
    <t>14b-instruct-q8_0</t>
  </si>
  <si>
    <t>qwen2.5:14b-instruct-q8_0</t>
  </si>
  <si>
    <t>27b-instruct-fp16</t>
  </si>
  <si>
    <t>gemma2:27b-instruct-fp16</t>
  </si>
  <si>
    <t>27b-instruct-q2_K</t>
  </si>
  <si>
    <t>gemma2:27b-instruct-q2_K</t>
  </si>
  <si>
    <t>27b-instruct-q3_K_L</t>
  </si>
  <si>
    <t>gemma2:27b-instruct-q3_K_L</t>
  </si>
  <si>
    <t>27b-instruct-q3_K_M</t>
  </si>
  <si>
    <t>gemma2:27b-instruct-q3_K_M</t>
  </si>
  <si>
    <t>27b-instruct-q3_K_S</t>
  </si>
  <si>
    <t>gemma2:27b-instruct-q3_K_S</t>
  </si>
  <si>
    <t>27b-instruct-q4_0</t>
  </si>
  <si>
    <t>gemma2:27b-instruct-q4_0</t>
  </si>
  <si>
    <t>27b-instruct-q4_1</t>
  </si>
  <si>
    <t>gemma2:27b-instruct-q4_1</t>
  </si>
  <si>
    <t>27b-instruct-q4_K_M</t>
  </si>
  <si>
    <t>gemma2:27b-instruct-q4_K_M</t>
  </si>
  <si>
    <t>27b-instruct-q4_K_S</t>
  </si>
  <si>
    <t>gemma2:27b-instruct-q4_K_S</t>
  </si>
  <si>
    <t>27b-instruct-q5_0</t>
  </si>
  <si>
    <t>gemma2:27b-instruct-q5_0</t>
  </si>
  <si>
    <t>27b-instruct-q5_1</t>
  </si>
  <si>
    <t>gemma2:27b-instruct-q5_1</t>
  </si>
  <si>
    <t>27b-instruct-q5_K_M</t>
  </si>
  <si>
    <t>gemma2:27b-instruct-q5_K_M</t>
  </si>
  <si>
    <t>27b-instruct-q5_K_S</t>
  </si>
  <si>
    <t>gemma2:27b-instruct-q5_K_S</t>
  </si>
  <si>
    <t>27b-instruct-q6_K</t>
  </si>
  <si>
    <t>gemma2:27b-instruct-q6_K</t>
  </si>
  <si>
    <t>27b-instruct-q8_0</t>
  </si>
  <si>
    <t>gemma2:27b-instruct-q8_0</t>
  </si>
  <si>
    <t>9b-instruct-fp16</t>
  </si>
  <si>
    <t>gemma2:9b-instruct-fp16</t>
  </si>
  <si>
    <t>9b-instruct-q2_K</t>
  </si>
  <si>
    <t>gemma2:9b-instruct-q2_K</t>
  </si>
  <si>
    <t>9b-instruct-q3_K_L</t>
  </si>
  <si>
    <t>gemma2:9b-instruct-q3_K_L</t>
  </si>
  <si>
    <t>9b-instruct-q3_K_M</t>
  </si>
  <si>
    <t>gemma2:9b-instruct-q3_K_M</t>
  </si>
  <si>
    <t>9b-instruct-q3_K_S</t>
  </si>
  <si>
    <t>gemma2:9b-instruct-q3_K_S</t>
  </si>
  <si>
    <t>9b-instruct-q4_0</t>
  </si>
  <si>
    <t>gemma2:9b-instruct-q4_0</t>
  </si>
  <si>
    <t>9b-instruct-q4_1</t>
  </si>
  <si>
    <t>gemma2:9b-instruct-q4_1</t>
  </si>
  <si>
    <t>9b-instruct-q4_K_M</t>
  </si>
  <si>
    <t>gemma2:9b-instruct-q4_K_M</t>
  </si>
  <si>
    <t>9b-instruct-q4_K_S</t>
  </si>
  <si>
    <t>gemma2:9b-instruct-q4_K_S</t>
  </si>
  <si>
    <t>9b-instruct-q5_0</t>
  </si>
  <si>
    <t>gemma2:9b-instruct-q5_0</t>
  </si>
  <si>
    <t>9b-instruct-q5_1</t>
  </si>
  <si>
    <t>gemma2:9b-instruct-q5_1</t>
  </si>
  <si>
    <t>9b-instruct-q5_K_M</t>
  </si>
  <si>
    <t>gemma2:9b-instruct-q5_K_M</t>
  </si>
  <si>
    <t>9b-instruct-q5_K_S</t>
  </si>
  <si>
    <t>gemma2:9b-instruct-q5_K_S</t>
  </si>
  <si>
    <t>9b-instruct-q6_K</t>
  </si>
  <si>
    <t>gemma2:9b-instruct-q6_K</t>
  </si>
  <si>
    <t>9b-instruct-q8_0</t>
  </si>
  <si>
    <t>gemma2:9b-instruct-q8_0</t>
  </si>
  <si>
    <t>2b-instruct-fp16</t>
  </si>
  <si>
    <t>gemma2:2b-instruct-fp16</t>
  </si>
  <si>
    <t>2b-instruct-q2_K</t>
  </si>
  <si>
    <t>gemma2:2b-instruct-q2_K</t>
  </si>
  <si>
    <t>2b-instruct-q3_K_L</t>
  </si>
  <si>
    <t>gemma2:2b-instruct-q3_K_L</t>
  </si>
  <si>
    <t>2b-instruct-q3_K_M</t>
  </si>
  <si>
    <t>gemma2:2b-instruct-q3_K_M</t>
  </si>
  <si>
    <t>2b-instruct-q3_K_S</t>
  </si>
  <si>
    <t>gemma2:2b-instruct-q3_K_S</t>
  </si>
  <si>
    <t>2b-instruct-q4_0</t>
  </si>
  <si>
    <t>gemma2:2b-instruct-q4_0</t>
  </si>
  <si>
    <t>2b-instruct-q4_1</t>
  </si>
  <si>
    <t>gemma2:2b-instruct-q4_1</t>
  </si>
  <si>
    <t>2b-instruct-q4_K_M</t>
  </si>
  <si>
    <t>gemma2:2b-instruct-q4_K_M</t>
  </si>
  <si>
    <t>2b-instruct-q4_K_S</t>
  </si>
  <si>
    <t>gemma2:2b-instruct-q4_K_S</t>
  </si>
  <si>
    <t>2b-instruct-q5_0</t>
  </si>
  <si>
    <t>gemma2:2b-instruct-q5_0</t>
  </si>
  <si>
    <t>2b-instruct-q5_1</t>
  </si>
  <si>
    <t>gemma2:2b-instruct-q5_1</t>
  </si>
  <si>
    <t>2b-instruct-q5_K_M</t>
  </si>
  <si>
    <t>gemma2:2b-instruct-q5_K_M</t>
  </si>
  <si>
    <t>2b-instruct-q5_K_S</t>
  </si>
  <si>
    <t>gemma2:2b-instruct-q5_K_S</t>
  </si>
  <si>
    <t>2b-instruct-q6_K</t>
  </si>
  <si>
    <t>gemma2:2b-instruct-q6_K</t>
  </si>
  <si>
    <t>2b-instruct-q8_0</t>
  </si>
  <si>
    <t>gemma2:2b-instruct-q8_0</t>
  </si>
  <si>
    <t>Mixtral</t>
  </si>
  <si>
    <t>8x7b-instruct-v0.1-fp16</t>
  </si>
  <si>
    <t>mixtral:8x7b-instruct-v0.1-fp16</t>
  </si>
  <si>
    <t>8x7b-instruct-v0.1-q2_K</t>
  </si>
  <si>
    <t>mixtral:8x7b-instruct-v0.1-q2_K</t>
  </si>
  <si>
    <t>8x7b-instruct-v0.1-q3_K_L</t>
  </si>
  <si>
    <t>mixtral:8x7b-instruct-v0.1-q3_K_L</t>
  </si>
  <si>
    <t>8x7b-instruct-v0.1-q3_K_M</t>
  </si>
  <si>
    <t>mixtral:8x7b-instruct-v0.1-q3_K_M</t>
  </si>
  <si>
    <t>8x7b-instruct-v0.1-q3_K_S</t>
  </si>
  <si>
    <t>mixtral:8x7b-instruct-v0.1-q3_K_S</t>
  </si>
  <si>
    <t>8x7b-instruct-v0.1-q4_0</t>
  </si>
  <si>
    <t>mixtral:8x7b-instruct-v0.1-q4_0</t>
  </si>
  <si>
    <t>8x7b-instruct-v0.1-q4_1</t>
  </si>
  <si>
    <t>mixtral:8x7b-instruct-v0.1-q4_1</t>
  </si>
  <si>
    <t>8x7b-instruct-v0.1-q4_K_M</t>
  </si>
  <si>
    <t>mixtral:8x7b-instruct-v0.1-q4_K_M</t>
  </si>
  <si>
    <t>8x7b-instruct-v0.1-q4_K_S</t>
  </si>
  <si>
    <t>mixtral:8x7b-instruct-v0.1-q4_K_S</t>
  </si>
  <si>
    <t>8x7b-instruct-v0.1-q5_0</t>
  </si>
  <si>
    <t>mixtral:8x7b-instruct-v0.1-q5_0</t>
  </si>
  <si>
    <t>8x7b-instruct-v0.1-q5_1</t>
  </si>
  <si>
    <t>mixtral:8x7b-instruct-v0.1-q5_1</t>
  </si>
  <si>
    <t>8x7b-instruct-v0.1-q5_K_M</t>
  </si>
  <si>
    <t>mixtral:8x7b-instruct-v0.1-q5_K_M</t>
  </si>
  <si>
    <t>8x7b-instruct-v0.1-q5_K_S</t>
  </si>
  <si>
    <t>mixtral:8x7b-instruct-v0.1-q5_K_S</t>
  </si>
  <si>
    <t>8x7b-instruct-v0.1-q6_K</t>
  </si>
  <si>
    <t>mixtral:8x7b-instruct-v0.1-q6_K</t>
  </si>
  <si>
    <t>8x7b-instruct-v0.1-q8_0</t>
  </si>
  <si>
    <t>mixtral:8x7b-instruct-v0.1-q8_0</t>
  </si>
  <si>
    <t>Mistral</t>
  </si>
  <si>
    <t>7b-instruct-v0.3-fp16</t>
  </si>
  <si>
    <t>mistral:7b-instruct-v0.3-fp16</t>
  </si>
  <si>
    <t>7b-instruct-v0.3-q2_K</t>
  </si>
  <si>
    <t>mistral:7b-instruct-v0.3-q2_K</t>
  </si>
  <si>
    <t>7b-instruct-v0.3-q3_K_L</t>
  </si>
  <si>
    <t>mistral:7b-instruct-v0.3-q3_K_L</t>
  </si>
  <si>
    <t>7b-instruct-v0.3-q3_K_M</t>
  </si>
  <si>
    <t>mistral:7b-instruct-v0.3-q3_K_M</t>
  </si>
  <si>
    <t>7b-instruct-v0.3-q3_K_S</t>
  </si>
  <si>
    <t>mistral:7b-instruct-v0.3-q3_K_S</t>
  </si>
  <si>
    <t>7b-instruct-v0.3-q4_0</t>
  </si>
  <si>
    <t>mistral:7b-instruct-v0.3-q4_0</t>
  </si>
  <si>
    <t>7b-instruct-v0.3-q4_1</t>
  </si>
  <si>
    <t>mistral:7b-instruct-v0.3-q4_1</t>
  </si>
  <si>
    <t>7b-instruct-v0.3-q4_K_M</t>
  </si>
  <si>
    <t>mistral:7b-instruct-v0.3-q4_K_M</t>
  </si>
  <si>
    <t>7b-instruct-v0.3-q4_K_S</t>
  </si>
  <si>
    <t>mistral:7b-instruct-v0.3-q4_K_S</t>
  </si>
  <si>
    <t>7b-instruct-v0.3-q5_0</t>
  </si>
  <si>
    <t>mistral:7b-instruct-v0.3-q5_0</t>
  </si>
  <si>
    <t>7b-instruct-v0.3-q5_1</t>
  </si>
  <si>
    <t>mistral:7b-instruct-v0.3-q5_1</t>
  </si>
  <si>
    <t>7b-instruct-v0.3-q5_K_M</t>
  </si>
  <si>
    <t>mistral:7b-instruct-v0.3-q5_K_M</t>
  </si>
  <si>
    <t>7b-instruct-v0.3-q5_K_S</t>
  </si>
  <si>
    <t>mistral:7b-instruct-v0.3-q5_K_S</t>
  </si>
  <si>
    <t>7b-instruct-v0.3-q6_K</t>
  </si>
  <si>
    <t>mistral:7b-instruct-v0.3-q6_K</t>
  </si>
  <si>
    <t>7b-instruct-v0.3-q8_0</t>
  </si>
  <si>
    <t>mistral:7b-instruct-v0.3-q8_0</t>
  </si>
  <si>
    <t>Model Family</t>
  </si>
  <si>
    <t>Llama 3.3 70B Instruct</t>
  </si>
  <si>
    <t>Llama 3.2 1B Instruct</t>
  </si>
  <si>
    <t>Llama 3.2 3B Instruct</t>
  </si>
  <si>
    <t>Phi 3.5 3.8B Mini Instruct</t>
  </si>
  <si>
    <t>Qwen 2.5 32B Instruct</t>
  </si>
  <si>
    <t>Qwen 2.5 14B Instruct</t>
  </si>
  <si>
    <t>Gemma 2 27B Instruct</t>
  </si>
  <si>
    <t>Gemma 2 9B Instruct</t>
  </si>
  <si>
    <t>Gemma 2 2B Instruct</t>
  </si>
  <si>
    <t>Mixtral 8x7B Instruct v0.1</t>
  </si>
  <si>
    <t>Mistral 7B Instruct v0.3</t>
  </si>
  <si>
    <t>GPU Type</t>
  </si>
  <si>
    <t>GPU VRAM (GB)</t>
  </si>
  <si>
    <t>GPU Cost/Hr ($)</t>
  </si>
  <si>
    <t>GPU QTY</t>
  </si>
  <si>
    <t>Total VRAM (GB)</t>
  </si>
  <si>
    <t>Total Cost/Hr ($)</t>
  </si>
  <si>
    <t>A40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</si>
</sst>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4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 applyAlignment="1">
      <alignment horizontal="center"/>
    </xf>
    <xf numFmtId="0" fontId="1" fillId="2" borderId="0" xfId="0" applyFont="1" applyFill="1" applyBorder="1"/>
    <xf numFmtId="0" fontId="1" fillId="2" borderId="1" xfId="0" applyFont="1" applyFill="1" applyBorder="1" applyAlignment="1">
      <alignment horizontal="center"/>
    </xf>
    <xf numFmtId="0" fontId="1" fillId="2" borderId="0" xfId="0" applyFont="1" applyFill="1"/>
    <xf numFmtId="15" fontId="0" fillId="0" borderId="0" xfId="0" applyNumberFormat="1"/>
    <xf numFmtId="0" fontId="1" fillId="2" borderId="0" xfId="0" applyFont="1" applyFill="1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0" applyNumberForma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248"/>
  <sheetViews>
    <sheetView tabSelected="1" topLeftCell="A28" workbookViewId="0">
      <selection activeCell="D49" sqref="D49"/>
    </sheetView>
  </sheetViews>
  <sheetFormatPr defaultRowHeight="15" x14ac:dyDescent="0.25"/>
  <cols>
    <col min="1" max="1" width="7.140625" style="3" bestFit="1" customWidth="1"/>
    <col min="2" max="2" width="13.28515625" style="3" bestFit="1" customWidth="1"/>
    <col min="3" max="3" width="26.5703125" bestFit="1" customWidth="1"/>
    <col min="4" max="4" width="18.28515625" bestFit="1" customWidth="1"/>
    <col min="5" max="5" width="12.42578125" bestFit="1" customWidth="1"/>
    <col min="6" max="6" width="10.7109375" bestFit="1" customWidth="1"/>
    <col min="7" max="7" width="13.7109375" bestFit="1" customWidth="1"/>
    <col min="8" max="8" width="8.140625" customWidth="1"/>
    <col min="9" max="9" width="15.42578125" bestFit="1" customWidth="1"/>
    <col min="10" max="10" width="19.28515625" bestFit="1" customWidth="1"/>
    <col min="11" max="11" width="35.42578125" bestFit="1" customWidth="1"/>
    <col min="12" max="12" width="9.7109375" style="3" bestFit="1" customWidth="1"/>
    <col min="13" max="13" width="15.5703125" style="3" bestFit="1" customWidth="1"/>
    <col min="14" max="14" width="15.140625" style="3" bestFit="1" customWidth="1"/>
    <col min="15" max="15" width="9" style="3" bestFit="1" customWidth="1"/>
    <col min="16" max="16" width="16" style="3" bestFit="1" customWidth="1"/>
    <col min="17" max="17" width="16" style="3" customWidth="1"/>
  </cols>
  <sheetData>
    <row r="1" spans="1:18" x14ac:dyDescent="0.25">
      <c r="A1" s="8" t="s">
        <v>299</v>
      </c>
      <c r="B1" s="4" t="s">
        <v>644</v>
      </c>
      <c r="C1" s="4" t="s">
        <v>230</v>
      </c>
      <c r="D1" s="4" t="s">
        <v>300</v>
      </c>
      <c r="E1" s="4" t="s">
        <v>8</v>
      </c>
      <c r="F1" s="4" t="s">
        <v>9</v>
      </c>
      <c r="G1" s="4" t="s">
        <v>301</v>
      </c>
      <c r="H1" s="4" t="s">
        <v>233</v>
      </c>
      <c r="I1" s="4" t="s">
        <v>232</v>
      </c>
      <c r="J1" s="4" t="s">
        <v>231</v>
      </c>
      <c r="K1" s="9" t="s">
        <v>291</v>
      </c>
      <c r="L1" s="11" t="s">
        <v>656</v>
      </c>
      <c r="M1" s="11" t="s">
        <v>657</v>
      </c>
      <c r="N1" s="11" t="s">
        <v>658</v>
      </c>
      <c r="O1" s="11" t="s">
        <v>659</v>
      </c>
      <c r="P1" s="11" t="s">
        <v>660</v>
      </c>
      <c r="Q1" s="11" t="s">
        <v>661</v>
      </c>
      <c r="R1" s="9" t="s">
        <v>302</v>
      </c>
    </row>
    <row r="2" spans="1:18" x14ac:dyDescent="0.25">
      <c r="B2" s="3" t="s">
        <v>117</v>
      </c>
      <c r="C2" t="s">
        <v>645</v>
      </c>
      <c r="D2" t="s">
        <v>303</v>
      </c>
      <c r="E2" t="s">
        <v>304</v>
      </c>
      <c r="F2" t="s">
        <v>305</v>
      </c>
      <c r="G2">
        <v>16</v>
      </c>
      <c r="H2">
        <v>70</v>
      </c>
      <c r="I2">
        <v>141</v>
      </c>
      <c r="J2" s="10">
        <v>45632</v>
      </c>
      <c r="K2" t="s">
        <v>306</v>
      </c>
      <c r="L2" s="3" t="s">
        <v>662</v>
      </c>
      <c r="M2" s="3">
        <v>48</v>
      </c>
      <c r="N2" s="12">
        <v>0.39</v>
      </c>
      <c r="O2" s="3">
        <v>2</v>
      </c>
      <c r="P2" s="3">
        <f>M2*O2</f>
        <v>96</v>
      </c>
      <c r="Q2" s="13">
        <f>N2*O2</f>
        <v>0.78</v>
      </c>
    </row>
    <row r="3" spans="1:18" x14ac:dyDescent="0.25">
      <c r="B3" s="3" t="s">
        <v>117</v>
      </c>
      <c r="C3" t="s">
        <v>645</v>
      </c>
      <c r="D3" t="s">
        <v>307</v>
      </c>
      <c r="E3" t="s">
        <v>73</v>
      </c>
      <c r="F3" t="s">
        <v>308</v>
      </c>
      <c r="G3">
        <v>2</v>
      </c>
      <c r="H3">
        <v>70</v>
      </c>
      <c r="I3">
        <v>26</v>
      </c>
      <c r="J3" s="10">
        <v>45632</v>
      </c>
      <c r="K3" t="s">
        <v>309</v>
      </c>
      <c r="L3" s="3" t="s">
        <v>662</v>
      </c>
      <c r="M3" s="3">
        <v>48</v>
      </c>
      <c r="N3" s="12">
        <v>0.39</v>
      </c>
      <c r="O3" s="3">
        <v>1</v>
      </c>
      <c r="P3" s="3">
        <f t="shared" ref="P3:P66" si="0">M3*O3</f>
        <v>48</v>
      </c>
      <c r="Q3" s="13">
        <f t="shared" ref="Q3:Q66" si="1">N3*O3</f>
        <v>0.39</v>
      </c>
    </row>
    <row r="4" spans="1:18" x14ac:dyDescent="0.25">
      <c r="B4" s="3" t="s">
        <v>117</v>
      </c>
      <c r="C4" t="s">
        <v>645</v>
      </c>
      <c r="D4" t="s">
        <v>310</v>
      </c>
      <c r="E4" t="s">
        <v>63</v>
      </c>
      <c r="F4" t="s">
        <v>311</v>
      </c>
      <c r="G4">
        <v>3</v>
      </c>
      <c r="H4">
        <v>70</v>
      </c>
      <c r="I4">
        <v>34</v>
      </c>
      <c r="J4" s="10">
        <v>45632</v>
      </c>
      <c r="K4" t="s">
        <v>312</v>
      </c>
      <c r="L4" s="3" t="s">
        <v>662</v>
      </c>
      <c r="M4" s="3">
        <v>48</v>
      </c>
      <c r="N4" s="12">
        <v>0.39</v>
      </c>
      <c r="O4" s="3">
        <v>1</v>
      </c>
      <c r="P4" s="3">
        <f t="shared" si="0"/>
        <v>48</v>
      </c>
      <c r="Q4" s="13">
        <f t="shared" si="1"/>
        <v>0.39</v>
      </c>
    </row>
    <row r="5" spans="1:18" x14ac:dyDescent="0.25">
      <c r="B5" s="3" t="s">
        <v>117</v>
      </c>
      <c r="C5" t="s">
        <v>645</v>
      </c>
      <c r="D5" t="s">
        <v>313</v>
      </c>
      <c r="E5" t="s">
        <v>67</v>
      </c>
      <c r="F5" t="s">
        <v>311</v>
      </c>
      <c r="G5">
        <v>3</v>
      </c>
      <c r="H5">
        <v>70</v>
      </c>
      <c r="I5">
        <v>31</v>
      </c>
      <c r="J5" s="10">
        <v>45632</v>
      </c>
      <c r="K5" t="s">
        <v>314</v>
      </c>
      <c r="L5" s="3" t="s">
        <v>662</v>
      </c>
      <c r="M5" s="3">
        <v>48</v>
      </c>
      <c r="N5" s="12">
        <v>0.39</v>
      </c>
      <c r="O5" s="3">
        <v>1</v>
      </c>
      <c r="P5" s="3">
        <f t="shared" si="0"/>
        <v>48</v>
      </c>
      <c r="Q5" s="13">
        <f t="shared" si="1"/>
        <v>0.39</v>
      </c>
    </row>
    <row r="6" spans="1:18" x14ac:dyDescent="0.25">
      <c r="B6" s="3" t="s">
        <v>117</v>
      </c>
      <c r="C6" t="s">
        <v>645</v>
      </c>
      <c r="D6" t="s">
        <v>315</v>
      </c>
      <c r="E6" t="s">
        <v>102</v>
      </c>
      <c r="F6" t="s">
        <v>316</v>
      </c>
      <c r="G6">
        <v>4</v>
      </c>
      <c r="H6">
        <v>70</v>
      </c>
      <c r="I6">
        <v>40</v>
      </c>
      <c r="J6" s="10">
        <v>45632</v>
      </c>
      <c r="K6" t="s">
        <v>317</v>
      </c>
      <c r="L6" s="3" t="s">
        <v>662</v>
      </c>
      <c r="M6" s="3">
        <v>48</v>
      </c>
      <c r="N6" s="12">
        <v>0.39</v>
      </c>
      <c r="O6" s="3">
        <v>1</v>
      </c>
      <c r="P6" s="3">
        <f t="shared" si="0"/>
        <v>48</v>
      </c>
      <c r="Q6" s="13">
        <f t="shared" si="1"/>
        <v>0.39</v>
      </c>
    </row>
    <row r="7" spans="1:18" x14ac:dyDescent="0.25">
      <c r="B7" s="3" t="s">
        <v>117</v>
      </c>
      <c r="C7" t="s">
        <v>645</v>
      </c>
      <c r="D7" t="s">
        <v>318</v>
      </c>
      <c r="E7" t="s">
        <v>319</v>
      </c>
      <c r="F7" t="s">
        <v>316</v>
      </c>
      <c r="G7">
        <v>4</v>
      </c>
      <c r="H7">
        <v>70</v>
      </c>
      <c r="I7">
        <v>44</v>
      </c>
      <c r="J7" s="10">
        <v>45632</v>
      </c>
      <c r="K7" t="s">
        <v>320</v>
      </c>
      <c r="L7" s="3" t="s">
        <v>662</v>
      </c>
      <c r="M7" s="3">
        <v>48</v>
      </c>
      <c r="N7" s="12">
        <v>0.39</v>
      </c>
      <c r="O7" s="3">
        <v>1</v>
      </c>
      <c r="P7" s="3">
        <f t="shared" si="0"/>
        <v>48</v>
      </c>
      <c r="Q7" s="13">
        <f t="shared" si="1"/>
        <v>0.39</v>
      </c>
    </row>
    <row r="8" spans="1:18" x14ac:dyDescent="0.25">
      <c r="B8" s="3" t="s">
        <v>117</v>
      </c>
      <c r="C8" t="s">
        <v>645</v>
      </c>
      <c r="D8" t="s">
        <v>321</v>
      </c>
      <c r="E8" t="s">
        <v>35</v>
      </c>
      <c r="F8" t="s">
        <v>316</v>
      </c>
      <c r="G8">
        <v>4</v>
      </c>
      <c r="H8">
        <v>70</v>
      </c>
      <c r="I8">
        <v>43</v>
      </c>
      <c r="J8" s="10">
        <v>45632</v>
      </c>
      <c r="K8" t="s">
        <v>322</v>
      </c>
      <c r="L8" s="3" t="s">
        <v>662</v>
      </c>
      <c r="M8" s="3">
        <v>48</v>
      </c>
      <c r="N8" s="12">
        <v>0.39</v>
      </c>
      <c r="O8" s="3">
        <v>1</v>
      </c>
      <c r="P8" s="3">
        <f t="shared" si="0"/>
        <v>48</v>
      </c>
      <c r="Q8" s="13">
        <f t="shared" si="1"/>
        <v>0.39</v>
      </c>
    </row>
    <row r="9" spans="1:18" x14ac:dyDescent="0.25">
      <c r="B9" s="3" t="s">
        <v>117</v>
      </c>
      <c r="C9" t="s">
        <v>645</v>
      </c>
      <c r="D9" t="s">
        <v>323</v>
      </c>
      <c r="E9" t="s">
        <v>37</v>
      </c>
      <c r="F9" t="s">
        <v>316</v>
      </c>
      <c r="G9">
        <v>4</v>
      </c>
      <c r="H9">
        <v>70</v>
      </c>
      <c r="I9">
        <v>40</v>
      </c>
      <c r="J9" s="10">
        <v>45632</v>
      </c>
      <c r="K9" t="s">
        <v>324</v>
      </c>
      <c r="L9" s="3" t="s">
        <v>662</v>
      </c>
      <c r="M9" s="3">
        <v>48</v>
      </c>
      <c r="N9" s="12">
        <v>0.39</v>
      </c>
      <c r="O9" s="3">
        <v>1</v>
      </c>
      <c r="P9" s="3">
        <f t="shared" si="0"/>
        <v>48</v>
      </c>
      <c r="Q9" s="13">
        <f t="shared" si="1"/>
        <v>0.39</v>
      </c>
    </row>
    <row r="10" spans="1:18" x14ac:dyDescent="0.25">
      <c r="B10" s="3" t="s">
        <v>117</v>
      </c>
      <c r="C10" t="s">
        <v>645</v>
      </c>
      <c r="D10" t="s">
        <v>325</v>
      </c>
      <c r="E10" t="s">
        <v>326</v>
      </c>
      <c r="F10" t="s">
        <v>327</v>
      </c>
      <c r="G10">
        <v>5</v>
      </c>
      <c r="H10">
        <v>70</v>
      </c>
      <c r="I10">
        <v>49</v>
      </c>
      <c r="J10" s="10">
        <v>45632</v>
      </c>
      <c r="K10" t="s">
        <v>328</v>
      </c>
      <c r="L10" s="3" t="s">
        <v>662</v>
      </c>
      <c r="M10" s="3">
        <v>48</v>
      </c>
      <c r="N10" s="12">
        <v>0.39</v>
      </c>
      <c r="O10" s="3">
        <v>2</v>
      </c>
      <c r="P10" s="3">
        <f t="shared" si="0"/>
        <v>96</v>
      </c>
      <c r="Q10" s="13">
        <f t="shared" si="1"/>
        <v>0.78</v>
      </c>
    </row>
    <row r="11" spans="1:18" x14ac:dyDescent="0.25">
      <c r="B11" s="3" t="s">
        <v>117</v>
      </c>
      <c r="C11" t="s">
        <v>645</v>
      </c>
      <c r="D11" t="s">
        <v>329</v>
      </c>
      <c r="E11" t="s">
        <v>330</v>
      </c>
      <c r="F11" t="s">
        <v>327</v>
      </c>
      <c r="G11">
        <v>5</v>
      </c>
      <c r="H11">
        <v>70</v>
      </c>
      <c r="I11">
        <v>53</v>
      </c>
      <c r="J11" s="10">
        <v>45632</v>
      </c>
      <c r="K11" t="s">
        <v>331</v>
      </c>
      <c r="L11" s="3" t="s">
        <v>662</v>
      </c>
      <c r="M11" s="3">
        <v>48</v>
      </c>
      <c r="N11" s="12">
        <v>0.39</v>
      </c>
      <c r="O11" s="3">
        <v>2</v>
      </c>
      <c r="P11" s="3">
        <f t="shared" si="0"/>
        <v>96</v>
      </c>
      <c r="Q11" s="13">
        <f t="shared" si="1"/>
        <v>0.78</v>
      </c>
    </row>
    <row r="12" spans="1:18" x14ac:dyDescent="0.25">
      <c r="B12" s="3" t="s">
        <v>117</v>
      </c>
      <c r="C12" t="s">
        <v>645</v>
      </c>
      <c r="D12" t="s">
        <v>332</v>
      </c>
      <c r="E12" t="s">
        <v>30</v>
      </c>
      <c r="F12" t="s">
        <v>327</v>
      </c>
      <c r="G12">
        <v>5</v>
      </c>
      <c r="H12">
        <v>70</v>
      </c>
      <c r="I12">
        <v>50</v>
      </c>
      <c r="J12" s="10">
        <v>45632</v>
      </c>
      <c r="K12" t="s">
        <v>333</v>
      </c>
      <c r="L12" s="3" t="s">
        <v>662</v>
      </c>
      <c r="M12" s="3">
        <v>48</v>
      </c>
      <c r="N12" s="12">
        <v>0.39</v>
      </c>
      <c r="O12" s="3">
        <v>2</v>
      </c>
      <c r="P12" s="3">
        <f t="shared" si="0"/>
        <v>96</v>
      </c>
      <c r="Q12" s="13">
        <f t="shared" si="1"/>
        <v>0.78</v>
      </c>
    </row>
    <row r="13" spans="1:18" x14ac:dyDescent="0.25">
      <c r="B13" s="3" t="s">
        <v>117</v>
      </c>
      <c r="C13" t="s">
        <v>645</v>
      </c>
      <c r="D13" t="s">
        <v>334</v>
      </c>
      <c r="E13" t="s">
        <v>27</v>
      </c>
      <c r="F13" t="s">
        <v>335</v>
      </c>
      <c r="G13">
        <v>6</v>
      </c>
      <c r="H13">
        <v>70</v>
      </c>
      <c r="I13">
        <v>58</v>
      </c>
      <c r="J13" s="10">
        <v>45632</v>
      </c>
      <c r="K13" t="s">
        <v>336</v>
      </c>
      <c r="L13" s="3" t="s">
        <v>662</v>
      </c>
      <c r="M13" s="3">
        <v>48</v>
      </c>
      <c r="N13" s="12">
        <v>0.39</v>
      </c>
      <c r="O13" s="3">
        <v>2</v>
      </c>
      <c r="P13" s="3">
        <f t="shared" si="0"/>
        <v>96</v>
      </c>
      <c r="Q13" s="13">
        <f t="shared" si="1"/>
        <v>0.78</v>
      </c>
    </row>
    <row r="14" spans="1:18" x14ac:dyDescent="0.25">
      <c r="B14" s="3" t="s">
        <v>117</v>
      </c>
      <c r="C14" t="s">
        <v>645</v>
      </c>
      <c r="D14" t="s">
        <v>337</v>
      </c>
      <c r="E14" t="s">
        <v>23</v>
      </c>
      <c r="F14" t="s">
        <v>338</v>
      </c>
      <c r="G14">
        <v>8</v>
      </c>
      <c r="H14">
        <v>70</v>
      </c>
      <c r="I14">
        <v>75</v>
      </c>
      <c r="J14" s="10">
        <v>45632</v>
      </c>
      <c r="K14" t="s">
        <v>339</v>
      </c>
      <c r="L14" s="3" t="s">
        <v>662</v>
      </c>
      <c r="M14" s="3">
        <v>48</v>
      </c>
      <c r="N14" s="12">
        <v>0.39</v>
      </c>
      <c r="O14" s="3">
        <v>2</v>
      </c>
      <c r="P14" s="3">
        <f t="shared" si="0"/>
        <v>96</v>
      </c>
      <c r="Q14" s="13">
        <f t="shared" si="1"/>
        <v>0.78</v>
      </c>
    </row>
    <row r="15" spans="1:18" x14ac:dyDescent="0.25">
      <c r="B15" s="3" t="s">
        <v>340</v>
      </c>
      <c r="C15" t="s">
        <v>646</v>
      </c>
      <c r="D15" t="s">
        <v>341</v>
      </c>
      <c r="E15" t="s">
        <v>304</v>
      </c>
      <c r="F15" t="s">
        <v>305</v>
      </c>
      <c r="G15">
        <v>16</v>
      </c>
      <c r="H15">
        <v>1</v>
      </c>
      <c r="I15">
        <v>2.5</v>
      </c>
      <c r="J15" s="10">
        <v>45560</v>
      </c>
      <c r="K15" t="s">
        <v>342</v>
      </c>
      <c r="L15" s="3" t="s">
        <v>662</v>
      </c>
      <c r="M15" s="3">
        <v>48</v>
      </c>
      <c r="N15" s="12">
        <v>0.39</v>
      </c>
      <c r="O15" s="3">
        <v>1</v>
      </c>
      <c r="P15" s="3">
        <f t="shared" si="0"/>
        <v>48</v>
      </c>
      <c r="Q15" s="13">
        <f t="shared" si="1"/>
        <v>0.39</v>
      </c>
    </row>
    <row r="16" spans="1:18" x14ac:dyDescent="0.25">
      <c r="B16" s="3" t="s">
        <v>340</v>
      </c>
      <c r="C16" t="s">
        <v>646</v>
      </c>
      <c r="D16" t="s">
        <v>343</v>
      </c>
      <c r="E16" t="s">
        <v>73</v>
      </c>
      <c r="F16" t="s">
        <v>308</v>
      </c>
      <c r="G16">
        <v>2</v>
      </c>
      <c r="H16">
        <v>1</v>
      </c>
      <c r="I16">
        <v>0.58099999999999996</v>
      </c>
      <c r="J16" s="10">
        <v>45560</v>
      </c>
      <c r="K16" t="s">
        <v>344</v>
      </c>
      <c r="L16" s="3" t="s">
        <v>662</v>
      </c>
      <c r="M16" s="3">
        <v>48</v>
      </c>
      <c r="N16" s="12">
        <v>0.39</v>
      </c>
      <c r="O16" s="3">
        <v>1</v>
      </c>
      <c r="P16" s="3">
        <f t="shared" si="0"/>
        <v>48</v>
      </c>
      <c r="Q16" s="13">
        <f t="shared" si="1"/>
        <v>0.39</v>
      </c>
    </row>
    <row r="17" spans="2:17" x14ac:dyDescent="0.25">
      <c r="B17" s="3" t="s">
        <v>340</v>
      </c>
      <c r="C17" t="s">
        <v>646</v>
      </c>
      <c r="D17" t="s">
        <v>345</v>
      </c>
      <c r="E17" t="s">
        <v>61</v>
      </c>
      <c r="F17" t="s">
        <v>311</v>
      </c>
      <c r="G17">
        <v>3</v>
      </c>
      <c r="H17">
        <v>1</v>
      </c>
      <c r="I17">
        <v>0.73299999999999998</v>
      </c>
      <c r="J17" s="10">
        <v>45560</v>
      </c>
      <c r="K17" t="s">
        <v>346</v>
      </c>
      <c r="L17" s="3" t="s">
        <v>662</v>
      </c>
      <c r="M17" s="3">
        <v>48</v>
      </c>
      <c r="N17" s="12">
        <v>0.39</v>
      </c>
      <c r="O17" s="3">
        <v>1</v>
      </c>
      <c r="P17" s="3">
        <f t="shared" si="0"/>
        <v>48</v>
      </c>
      <c r="Q17" s="13">
        <f t="shared" si="1"/>
        <v>0.39</v>
      </c>
    </row>
    <row r="18" spans="2:17" x14ac:dyDescent="0.25">
      <c r="B18" s="3" t="s">
        <v>340</v>
      </c>
      <c r="C18" t="s">
        <v>646</v>
      </c>
      <c r="D18" t="s">
        <v>347</v>
      </c>
      <c r="E18" t="s">
        <v>63</v>
      </c>
      <c r="F18" t="s">
        <v>311</v>
      </c>
      <c r="G18">
        <v>3</v>
      </c>
      <c r="H18">
        <v>1</v>
      </c>
      <c r="I18">
        <v>0.69099999999999995</v>
      </c>
      <c r="J18" s="10">
        <v>45560</v>
      </c>
      <c r="K18" t="s">
        <v>348</v>
      </c>
      <c r="L18" s="3" t="s">
        <v>662</v>
      </c>
      <c r="M18" s="3">
        <v>48</v>
      </c>
      <c r="N18" s="12">
        <v>0.39</v>
      </c>
      <c r="O18" s="3">
        <v>1</v>
      </c>
      <c r="P18" s="3">
        <f t="shared" si="0"/>
        <v>48</v>
      </c>
      <c r="Q18" s="13">
        <f t="shared" si="1"/>
        <v>0.39</v>
      </c>
    </row>
    <row r="19" spans="2:17" x14ac:dyDescent="0.25">
      <c r="B19" s="3" t="s">
        <v>340</v>
      </c>
      <c r="C19" t="s">
        <v>646</v>
      </c>
      <c r="D19" t="s">
        <v>349</v>
      </c>
      <c r="E19" t="s">
        <v>67</v>
      </c>
      <c r="F19" t="s">
        <v>311</v>
      </c>
      <c r="G19">
        <v>3</v>
      </c>
      <c r="H19">
        <v>1</v>
      </c>
      <c r="I19">
        <v>0.64200000000000002</v>
      </c>
      <c r="J19" s="10">
        <v>45560</v>
      </c>
      <c r="K19" t="s">
        <v>350</v>
      </c>
      <c r="L19" s="3" t="s">
        <v>662</v>
      </c>
      <c r="M19" s="3">
        <v>48</v>
      </c>
      <c r="N19" s="12">
        <v>0.39</v>
      </c>
      <c r="O19" s="3">
        <v>1</v>
      </c>
      <c r="P19" s="3">
        <f t="shared" si="0"/>
        <v>48</v>
      </c>
      <c r="Q19" s="13">
        <f t="shared" si="1"/>
        <v>0.39</v>
      </c>
    </row>
    <row r="20" spans="2:17" x14ac:dyDescent="0.25">
      <c r="B20" s="3" t="s">
        <v>340</v>
      </c>
      <c r="C20" t="s">
        <v>646</v>
      </c>
      <c r="D20" t="s">
        <v>351</v>
      </c>
      <c r="E20" t="s">
        <v>102</v>
      </c>
      <c r="F20" t="s">
        <v>316</v>
      </c>
      <c r="G20">
        <v>4</v>
      </c>
      <c r="H20">
        <v>1</v>
      </c>
      <c r="I20">
        <v>0.77100000000000002</v>
      </c>
      <c r="J20" s="10">
        <v>45560</v>
      </c>
      <c r="K20" t="s">
        <v>352</v>
      </c>
      <c r="L20" s="3" t="s">
        <v>662</v>
      </c>
      <c r="M20" s="3">
        <v>48</v>
      </c>
      <c r="N20" s="12">
        <v>0.39</v>
      </c>
      <c r="O20" s="3">
        <v>1</v>
      </c>
      <c r="P20" s="3">
        <f t="shared" si="0"/>
        <v>48</v>
      </c>
      <c r="Q20" s="13">
        <f t="shared" si="1"/>
        <v>0.39</v>
      </c>
    </row>
    <row r="21" spans="2:17" x14ac:dyDescent="0.25">
      <c r="B21" s="3" t="s">
        <v>340</v>
      </c>
      <c r="C21" t="s">
        <v>646</v>
      </c>
      <c r="D21" t="s">
        <v>353</v>
      </c>
      <c r="E21" t="s">
        <v>319</v>
      </c>
      <c r="F21" t="s">
        <v>316</v>
      </c>
      <c r="G21">
        <v>4</v>
      </c>
      <c r="H21">
        <v>1</v>
      </c>
      <c r="I21">
        <v>0.83199999999999996</v>
      </c>
      <c r="J21" s="10">
        <v>45560</v>
      </c>
      <c r="K21" t="s">
        <v>354</v>
      </c>
      <c r="L21" s="3" t="s">
        <v>662</v>
      </c>
      <c r="M21" s="3">
        <v>48</v>
      </c>
      <c r="N21" s="12">
        <v>0.39</v>
      </c>
      <c r="O21" s="3">
        <v>1</v>
      </c>
      <c r="P21" s="3">
        <f t="shared" si="0"/>
        <v>48</v>
      </c>
      <c r="Q21" s="13">
        <f t="shared" si="1"/>
        <v>0.39</v>
      </c>
    </row>
    <row r="22" spans="2:17" x14ac:dyDescent="0.25">
      <c r="B22" s="3" t="s">
        <v>340</v>
      </c>
      <c r="C22" t="s">
        <v>646</v>
      </c>
      <c r="D22" t="s">
        <v>355</v>
      </c>
      <c r="E22" t="s">
        <v>35</v>
      </c>
      <c r="F22" t="s">
        <v>316</v>
      </c>
      <c r="G22">
        <v>4</v>
      </c>
      <c r="H22">
        <v>1</v>
      </c>
      <c r="I22">
        <v>0.80800000000000005</v>
      </c>
      <c r="J22" s="10">
        <v>45560</v>
      </c>
      <c r="K22" t="s">
        <v>356</v>
      </c>
      <c r="L22" s="3" t="s">
        <v>662</v>
      </c>
      <c r="M22" s="3">
        <v>48</v>
      </c>
      <c r="N22" s="12">
        <v>0.39</v>
      </c>
      <c r="O22" s="3">
        <v>1</v>
      </c>
      <c r="P22" s="3">
        <f t="shared" si="0"/>
        <v>48</v>
      </c>
      <c r="Q22" s="13">
        <f t="shared" si="1"/>
        <v>0.39</v>
      </c>
    </row>
    <row r="23" spans="2:17" x14ac:dyDescent="0.25">
      <c r="B23" s="3" t="s">
        <v>340</v>
      </c>
      <c r="C23" t="s">
        <v>646</v>
      </c>
      <c r="D23" t="s">
        <v>357</v>
      </c>
      <c r="E23" t="s">
        <v>37</v>
      </c>
      <c r="F23" t="s">
        <v>316</v>
      </c>
      <c r="G23">
        <v>4</v>
      </c>
      <c r="H23">
        <v>1</v>
      </c>
      <c r="I23">
        <v>0.77600000000000002</v>
      </c>
      <c r="J23" s="10">
        <v>45560</v>
      </c>
      <c r="K23" t="s">
        <v>358</v>
      </c>
      <c r="L23" s="3" t="s">
        <v>662</v>
      </c>
      <c r="M23" s="3">
        <v>48</v>
      </c>
      <c r="N23" s="12">
        <v>0.39</v>
      </c>
      <c r="O23" s="3">
        <v>1</v>
      </c>
      <c r="P23" s="3">
        <f t="shared" si="0"/>
        <v>48</v>
      </c>
      <c r="Q23" s="13">
        <f t="shared" si="1"/>
        <v>0.39</v>
      </c>
    </row>
    <row r="24" spans="2:17" x14ac:dyDescent="0.25">
      <c r="B24" s="3" t="s">
        <v>340</v>
      </c>
      <c r="C24" t="s">
        <v>646</v>
      </c>
      <c r="D24" t="s">
        <v>359</v>
      </c>
      <c r="E24" t="s">
        <v>326</v>
      </c>
      <c r="F24" t="s">
        <v>327</v>
      </c>
      <c r="G24">
        <v>5</v>
      </c>
      <c r="H24">
        <v>1</v>
      </c>
      <c r="I24">
        <v>0.89300000000000002</v>
      </c>
      <c r="J24" s="10">
        <v>45560</v>
      </c>
      <c r="K24" t="s">
        <v>360</v>
      </c>
      <c r="L24" s="3" t="s">
        <v>662</v>
      </c>
      <c r="M24" s="3">
        <v>48</v>
      </c>
      <c r="N24" s="12">
        <v>0.39</v>
      </c>
      <c r="O24" s="3">
        <v>1</v>
      </c>
      <c r="P24" s="3">
        <f t="shared" si="0"/>
        <v>48</v>
      </c>
      <c r="Q24" s="13">
        <f t="shared" si="1"/>
        <v>0.39</v>
      </c>
    </row>
    <row r="25" spans="2:17" x14ac:dyDescent="0.25">
      <c r="B25" s="3" t="s">
        <v>340</v>
      </c>
      <c r="C25" t="s">
        <v>646</v>
      </c>
      <c r="D25" t="s">
        <v>361</v>
      </c>
      <c r="E25" t="s">
        <v>330</v>
      </c>
      <c r="F25" t="s">
        <v>327</v>
      </c>
      <c r="G25">
        <v>5</v>
      </c>
      <c r="H25">
        <v>1</v>
      </c>
      <c r="I25">
        <v>0.95299999999999996</v>
      </c>
      <c r="J25" s="10">
        <v>45560</v>
      </c>
      <c r="K25" t="s">
        <v>362</v>
      </c>
      <c r="L25" s="3" t="s">
        <v>662</v>
      </c>
      <c r="M25" s="3">
        <v>48</v>
      </c>
      <c r="N25" s="12">
        <v>0.39</v>
      </c>
      <c r="O25" s="3">
        <v>1</v>
      </c>
      <c r="P25" s="3">
        <f t="shared" si="0"/>
        <v>48</v>
      </c>
      <c r="Q25" s="13">
        <f t="shared" si="1"/>
        <v>0.39</v>
      </c>
    </row>
    <row r="26" spans="2:17" x14ac:dyDescent="0.25">
      <c r="B26" s="3" t="s">
        <v>340</v>
      </c>
      <c r="C26" t="s">
        <v>646</v>
      </c>
      <c r="D26" t="s">
        <v>363</v>
      </c>
      <c r="E26" t="s">
        <v>30</v>
      </c>
      <c r="F26" t="s">
        <v>327</v>
      </c>
      <c r="G26">
        <v>5</v>
      </c>
      <c r="H26">
        <v>1</v>
      </c>
      <c r="I26">
        <v>0.91200000000000003</v>
      </c>
      <c r="J26" s="10">
        <v>45560</v>
      </c>
      <c r="K26" t="s">
        <v>364</v>
      </c>
      <c r="L26" s="3" t="s">
        <v>662</v>
      </c>
      <c r="M26" s="3">
        <v>48</v>
      </c>
      <c r="N26" s="12">
        <v>0.39</v>
      </c>
      <c r="O26" s="3">
        <v>1</v>
      </c>
      <c r="P26" s="3">
        <f t="shared" si="0"/>
        <v>48</v>
      </c>
      <c r="Q26" s="13">
        <f t="shared" si="1"/>
        <v>0.39</v>
      </c>
    </row>
    <row r="27" spans="2:17" x14ac:dyDescent="0.25">
      <c r="B27" s="3" t="s">
        <v>340</v>
      </c>
      <c r="C27" t="s">
        <v>646</v>
      </c>
      <c r="D27" t="s">
        <v>365</v>
      </c>
      <c r="E27" t="s">
        <v>32</v>
      </c>
      <c r="F27" t="s">
        <v>327</v>
      </c>
      <c r="G27">
        <v>5</v>
      </c>
      <c r="H27">
        <v>1</v>
      </c>
      <c r="I27">
        <v>0.89300000000000002</v>
      </c>
      <c r="J27" s="10">
        <v>45560</v>
      </c>
      <c r="K27" t="s">
        <v>366</v>
      </c>
      <c r="L27" s="3" t="s">
        <v>662</v>
      </c>
      <c r="M27" s="3">
        <v>48</v>
      </c>
      <c r="N27" s="12">
        <v>0.39</v>
      </c>
      <c r="O27" s="3">
        <v>1</v>
      </c>
      <c r="P27" s="3">
        <f t="shared" si="0"/>
        <v>48</v>
      </c>
      <c r="Q27" s="13">
        <f t="shared" si="1"/>
        <v>0.39</v>
      </c>
    </row>
    <row r="28" spans="2:17" x14ac:dyDescent="0.25">
      <c r="B28" s="3" t="s">
        <v>340</v>
      </c>
      <c r="C28" t="s">
        <v>646</v>
      </c>
      <c r="D28" t="s">
        <v>367</v>
      </c>
      <c r="E28" t="s">
        <v>27</v>
      </c>
      <c r="F28" t="s">
        <v>335</v>
      </c>
      <c r="G28">
        <v>6</v>
      </c>
      <c r="H28">
        <v>1</v>
      </c>
      <c r="I28">
        <v>1</v>
      </c>
      <c r="J28" s="10">
        <v>45560</v>
      </c>
      <c r="K28" t="s">
        <v>368</v>
      </c>
      <c r="L28" s="3" t="s">
        <v>662</v>
      </c>
      <c r="M28" s="3">
        <v>48</v>
      </c>
      <c r="N28" s="12">
        <v>0.39</v>
      </c>
      <c r="O28" s="3">
        <v>1</v>
      </c>
      <c r="P28" s="3">
        <f t="shared" si="0"/>
        <v>48</v>
      </c>
      <c r="Q28" s="13">
        <f t="shared" si="1"/>
        <v>0.39</v>
      </c>
    </row>
    <row r="29" spans="2:17" x14ac:dyDescent="0.25">
      <c r="B29" s="3" t="s">
        <v>340</v>
      </c>
      <c r="C29" t="s">
        <v>647</v>
      </c>
      <c r="D29" t="s">
        <v>369</v>
      </c>
      <c r="E29" t="s">
        <v>304</v>
      </c>
      <c r="F29" t="s">
        <v>305</v>
      </c>
      <c r="G29">
        <v>16</v>
      </c>
      <c r="H29">
        <v>3</v>
      </c>
      <c r="I29">
        <v>7.5</v>
      </c>
      <c r="J29" s="10">
        <v>45560</v>
      </c>
      <c r="K29" t="s">
        <v>370</v>
      </c>
      <c r="L29" s="3" t="s">
        <v>662</v>
      </c>
      <c r="M29" s="3">
        <v>48</v>
      </c>
      <c r="N29" s="12">
        <v>0.39</v>
      </c>
      <c r="O29" s="3">
        <v>1</v>
      </c>
      <c r="P29" s="3">
        <f t="shared" si="0"/>
        <v>48</v>
      </c>
      <c r="Q29" s="13">
        <f t="shared" si="1"/>
        <v>0.39</v>
      </c>
    </row>
    <row r="30" spans="2:17" x14ac:dyDescent="0.25">
      <c r="B30" s="3" t="s">
        <v>340</v>
      </c>
      <c r="C30" t="s">
        <v>647</v>
      </c>
      <c r="D30" t="s">
        <v>371</v>
      </c>
      <c r="E30" t="s">
        <v>73</v>
      </c>
      <c r="F30" t="s">
        <v>308</v>
      </c>
      <c r="G30">
        <v>2</v>
      </c>
      <c r="H30">
        <v>3</v>
      </c>
      <c r="I30">
        <v>1.74</v>
      </c>
      <c r="J30" s="10">
        <v>45560</v>
      </c>
      <c r="K30" t="s">
        <v>372</v>
      </c>
      <c r="L30" s="3" t="s">
        <v>662</v>
      </c>
      <c r="M30" s="3">
        <v>48</v>
      </c>
      <c r="N30" s="12">
        <v>0.39</v>
      </c>
      <c r="O30" s="3">
        <v>1</v>
      </c>
      <c r="P30" s="3">
        <f t="shared" si="0"/>
        <v>48</v>
      </c>
      <c r="Q30" s="13">
        <f t="shared" si="1"/>
        <v>0.39</v>
      </c>
    </row>
    <row r="31" spans="2:17" x14ac:dyDescent="0.25">
      <c r="B31" s="3" t="s">
        <v>340</v>
      </c>
      <c r="C31" t="s">
        <v>647</v>
      </c>
      <c r="D31" t="s">
        <v>373</v>
      </c>
      <c r="E31" t="s">
        <v>61</v>
      </c>
      <c r="F31" t="s">
        <v>311</v>
      </c>
      <c r="G31">
        <v>3</v>
      </c>
      <c r="H31">
        <v>3</v>
      </c>
      <c r="I31">
        <v>2.19</v>
      </c>
      <c r="J31" s="10">
        <v>45560</v>
      </c>
      <c r="K31" t="s">
        <v>374</v>
      </c>
      <c r="L31" s="3" t="s">
        <v>662</v>
      </c>
      <c r="M31" s="3">
        <v>48</v>
      </c>
      <c r="N31" s="12">
        <v>0.39</v>
      </c>
      <c r="O31" s="3">
        <v>1</v>
      </c>
      <c r="P31" s="3">
        <f t="shared" si="0"/>
        <v>48</v>
      </c>
      <c r="Q31" s="13">
        <f t="shared" si="1"/>
        <v>0.39</v>
      </c>
    </row>
    <row r="32" spans="2:17" x14ac:dyDescent="0.25">
      <c r="B32" s="3" t="s">
        <v>340</v>
      </c>
      <c r="C32" t="s">
        <v>647</v>
      </c>
      <c r="D32" t="s">
        <v>375</v>
      </c>
      <c r="E32" t="s">
        <v>63</v>
      </c>
      <c r="F32" t="s">
        <v>311</v>
      </c>
      <c r="G32">
        <v>3</v>
      </c>
      <c r="H32">
        <v>3</v>
      </c>
      <c r="I32">
        <v>2.0699999999999998</v>
      </c>
      <c r="J32" s="10">
        <v>45560</v>
      </c>
      <c r="K32" t="s">
        <v>376</v>
      </c>
      <c r="L32" s="3" t="s">
        <v>662</v>
      </c>
      <c r="M32" s="3">
        <v>48</v>
      </c>
      <c r="N32" s="12">
        <v>0.39</v>
      </c>
      <c r="O32" s="3">
        <v>1</v>
      </c>
      <c r="P32" s="3">
        <f t="shared" si="0"/>
        <v>48</v>
      </c>
      <c r="Q32" s="13">
        <f t="shared" si="1"/>
        <v>0.39</v>
      </c>
    </row>
    <row r="33" spans="2:17" x14ac:dyDescent="0.25">
      <c r="B33" s="3" t="s">
        <v>340</v>
      </c>
      <c r="C33" t="s">
        <v>647</v>
      </c>
      <c r="D33" t="s">
        <v>377</v>
      </c>
      <c r="E33" t="s">
        <v>67</v>
      </c>
      <c r="F33" t="s">
        <v>311</v>
      </c>
      <c r="G33">
        <v>3</v>
      </c>
      <c r="H33">
        <v>3</v>
      </c>
      <c r="I33">
        <v>1.92</v>
      </c>
      <c r="J33" s="10">
        <v>45560</v>
      </c>
      <c r="K33" t="s">
        <v>378</v>
      </c>
      <c r="L33" s="3" t="s">
        <v>662</v>
      </c>
      <c r="M33" s="3">
        <v>48</v>
      </c>
      <c r="N33" s="12">
        <v>0.39</v>
      </c>
      <c r="O33" s="3">
        <v>1</v>
      </c>
      <c r="P33" s="3">
        <f t="shared" si="0"/>
        <v>48</v>
      </c>
      <c r="Q33" s="13">
        <f t="shared" si="1"/>
        <v>0.39</v>
      </c>
    </row>
    <row r="34" spans="2:17" x14ac:dyDescent="0.25">
      <c r="B34" s="3" t="s">
        <v>340</v>
      </c>
      <c r="C34" t="s">
        <v>647</v>
      </c>
      <c r="D34" t="s">
        <v>379</v>
      </c>
      <c r="E34" t="s">
        <v>102</v>
      </c>
      <c r="F34" t="s">
        <v>316</v>
      </c>
      <c r="G34">
        <v>4</v>
      </c>
      <c r="H34">
        <v>3</v>
      </c>
      <c r="I34">
        <v>2.31</v>
      </c>
      <c r="J34" s="10">
        <v>45560</v>
      </c>
      <c r="K34" t="s">
        <v>380</v>
      </c>
      <c r="L34" s="3" t="s">
        <v>662</v>
      </c>
      <c r="M34" s="3">
        <v>48</v>
      </c>
      <c r="N34" s="12">
        <v>0.39</v>
      </c>
      <c r="O34" s="3">
        <v>1</v>
      </c>
      <c r="P34" s="3">
        <f t="shared" si="0"/>
        <v>48</v>
      </c>
      <c r="Q34" s="13">
        <f t="shared" si="1"/>
        <v>0.39</v>
      </c>
    </row>
    <row r="35" spans="2:17" x14ac:dyDescent="0.25">
      <c r="B35" s="3" t="s">
        <v>340</v>
      </c>
      <c r="C35" t="s">
        <v>647</v>
      </c>
      <c r="D35" t="s">
        <v>381</v>
      </c>
      <c r="E35" t="s">
        <v>319</v>
      </c>
      <c r="F35" t="s">
        <v>316</v>
      </c>
      <c r="G35">
        <v>4</v>
      </c>
      <c r="H35">
        <v>3</v>
      </c>
      <c r="I35">
        <v>2.5</v>
      </c>
      <c r="J35" s="10">
        <v>45560</v>
      </c>
      <c r="K35" t="s">
        <v>382</v>
      </c>
      <c r="L35" s="3" t="s">
        <v>662</v>
      </c>
      <c r="M35" s="3">
        <v>48</v>
      </c>
      <c r="N35" s="12">
        <v>0.39</v>
      </c>
      <c r="O35" s="3">
        <v>1</v>
      </c>
      <c r="P35" s="3">
        <f t="shared" si="0"/>
        <v>48</v>
      </c>
      <c r="Q35" s="13">
        <f t="shared" si="1"/>
        <v>0.39</v>
      </c>
    </row>
    <row r="36" spans="2:17" x14ac:dyDescent="0.25">
      <c r="B36" s="3" t="s">
        <v>340</v>
      </c>
      <c r="C36" t="s">
        <v>647</v>
      </c>
      <c r="D36" t="s">
        <v>383</v>
      </c>
      <c r="E36" t="s">
        <v>35</v>
      </c>
      <c r="F36" t="s">
        <v>316</v>
      </c>
      <c r="G36">
        <v>4</v>
      </c>
      <c r="H36">
        <v>3</v>
      </c>
      <c r="I36">
        <v>2.42</v>
      </c>
      <c r="J36" s="10">
        <v>45560</v>
      </c>
      <c r="K36" t="s">
        <v>384</v>
      </c>
      <c r="L36" s="3" t="s">
        <v>662</v>
      </c>
      <c r="M36" s="3">
        <v>48</v>
      </c>
      <c r="N36" s="12">
        <v>0.39</v>
      </c>
      <c r="O36" s="3">
        <v>1</v>
      </c>
      <c r="P36" s="3">
        <f t="shared" si="0"/>
        <v>48</v>
      </c>
      <c r="Q36" s="13">
        <f t="shared" si="1"/>
        <v>0.39</v>
      </c>
    </row>
    <row r="37" spans="2:17" x14ac:dyDescent="0.25">
      <c r="B37" s="3" t="s">
        <v>340</v>
      </c>
      <c r="C37" t="s">
        <v>647</v>
      </c>
      <c r="D37" t="s">
        <v>385</v>
      </c>
      <c r="E37" t="s">
        <v>37</v>
      </c>
      <c r="F37" t="s">
        <v>316</v>
      </c>
      <c r="G37">
        <v>4</v>
      </c>
      <c r="H37">
        <v>3</v>
      </c>
      <c r="I37">
        <v>2.3199999999999998</v>
      </c>
      <c r="J37" s="10">
        <v>45560</v>
      </c>
      <c r="K37" t="s">
        <v>386</v>
      </c>
      <c r="L37" s="3" t="s">
        <v>662</v>
      </c>
      <c r="M37" s="3">
        <v>48</v>
      </c>
      <c r="N37" s="12">
        <v>0.39</v>
      </c>
      <c r="O37" s="3">
        <v>1</v>
      </c>
      <c r="P37" s="3">
        <f t="shared" si="0"/>
        <v>48</v>
      </c>
      <c r="Q37" s="13">
        <f t="shared" si="1"/>
        <v>0.39</v>
      </c>
    </row>
    <row r="38" spans="2:17" x14ac:dyDescent="0.25">
      <c r="B38" s="3" t="s">
        <v>340</v>
      </c>
      <c r="C38" t="s">
        <v>647</v>
      </c>
      <c r="D38" t="s">
        <v>387</v>
      </c>
      <c r="E38" t="s">
        <v>326</v>
      </c>
      <c r="F38" t="s">
        <v>327</v>
      </c>
      <c r="G38">
        <v>5</v>
      </c>
      <c r="H38">
        <v>3</v>
      </c>
      <c r="I38">
        <v>2.68</v>
      </c>
      <c r="J38" s="10">
        <v>45560</v>
      </c>
      <c r="K38" t="s">
        <v>388</v>
      </c>
      <c r="L38" s="3" t="s">
        <v>662</v>
      </c>
      <c r="M38" s="3">
        <v>48</v>
      </c>
      <c r="N38" s="12">
        <v>0.39</v>
      </c>
      <c r="O38" s="3">
        <v>1</v>
      </c>
      <c r="P38" s="3">
        <f t="shared" si="0"/>
        <v>48</v>
      </c>
      <c r="Q38" s="13">
        <f t="shared" si="1"/>
        <v>0.39</v>
      </c>
    </row>
    <row r="39" spans="2:17" x14ac:dyDescent="0.25">
      <c r="B39" s="3" t="s">
        <v>340</v>
      </c>
      <c r="C39" t="s">
        <v>647</v>
      </c>
      <c r="D39" t="s">
        <v>389</v>
      </c>
      <c r="E39" t="s">
        <v>330</v>
      </c>
      <c r="F39" t="s">
        <v>327</v>
      </c>
      <c r="G39">
        <v>5</v>
      </c>
      <c r="H39">
        <v>3</v>
      </c>
      <c r="I39">
        <v>2.86</v>
      </c>
      <c r="J39" s="10">
        <v>45560</v>
      </c>
      <c r="K39" t="s">
        <v>390</v>
      </c>
      <c r="L39" s="3" t="s">
        <v>662</v>
      </c>
      <c r="M39" s="3">
        <v>48</v>
      </c>
      <c r="N39" s="12">
        <v>0.39</v>
      </c>
      <c r="O39" s="3">
        <v>1</v>
      </c>
      <c r="P39" s="3">
        <f t="shared" si="0"/>
        <v>48</v>
      </c>
      <c r="Q39" s="13">
        <f t="shared" si="1"/>
        <v>0.39</v>
      </c>
    </row>
    <row r="40" spans="2:17" x14ac:dyDescent="0.25">
      <c r="B40" s="3" t="s">
        <v>340</v>
      </c>
      <c r="C40" t="s">
        <v>647</v>
      </c>
      <c r="D40" t="s">
        <v>391</v>
      </c>
      <c r="E40" t="s">
        <v>30</v>
      </c>
      <c r="F40" t="s">
        <v>327</v>
      </c>
      <c r="G40">
        <v>5</v>
      </c>
      <c r="H40">
        <v>3</v>
      </c>
      <c r="I40">
        <v>2.74</v>
      </c>
      <c r="J40" s="10">
        <v>45560</v>
      </c>
      <c r="K40" t="s">
        <v>392</v>
      </c>
      <c r="L40" s="3" t="s">
        <v>662</v>
      </c>
      <c r="M40" s="3">
        <v>48</v>
      </c>
      <c r="N40" s="12">
        <v>0.39</v>
      </c>
      <c r="O40" s="3">
        <v>1</v>
      </c>
      <c r="P40" s="3">
        <f t="shared" si="0"/>
        <v>48</v>
      </c>
      <c r="Q40" s="13">
        <f t="shared" si="1"/>
        <v>0.39</v>
      </c>
    </row>
    <row r="41" spans="2:17" x14ac:dyDescent="0.25">
      <c r="B41" s="3" t="s">
        <v>340</v>
      </c>
      <c r="C41" t="s">
        <v>647</v>
      </c>
      <c r="D41" t="s">
        <v>393</v>
      </c>
      <c r="E41" t="s">
        <v>32</v>
      </c>
      <c r="F41" t="s">
        <v>327</v>
      </c>
      <c r="G41">
        <v>5</v>
      </c>
      <c r="H41">
        <v>3</v>
      </c>
      <c r="I41">
        <v>2.68</v>
      </c>
      <c r="J41" s="10">
        <v>45560</v>
      </c>
      <c r="K41" t="s">
        <v>394</v>
      </c>
      <c r="L41" s="3" t="s">
        <v>662</v>
      </c>
      <c r="M41" s="3">
        <v>48</v>
      </c>
      <c r="N41" s="12">
        <v>0.39</v>
      </c>
      <c r="O41" s="3">
        <v>1</v>
      </c>
      <c r="P41" s="3">
        <f t="shared" si="0"/>
        <v>48</v>
      </c>
      <c r="Q41" s="13">
        <f t="shared" si="1"/>
        <v>0.39</v>
      </c>
    </row>
    <row r="42" spans="2:17" x14ac:dyDescent="0.25">
      <c r="B42" s="3" t="s">
        <v>340</v>
      </c>
      <c r="C42" t="s">
        <v>647</v>
      </c>
      <c r="D42" t="s">
        <v>395</v>
      </c>
      <c r="E42" t="s">
        <v>27</v>
      </c>
      <c r="F42" t="s">
        <v>335</v>
      </c>
      <c r="G42">
        <v>6</v>
      </c>
      <c r="H42">
        <v>3</v>
      </c>
      <c r="I42">
        <v>3</v>
      </c>
      <c r="J42" s="10">
        <v>45560</v>
      </c>
      <c r="K42" t="s">
        <v>396</v>
      </c>
      <c r="L42" s="3" t="s">
        <v>662</v>
      </c>
      <c r="M42" s="3">
        <v>48</v>
      </c>
      <c r="N42" s="12">
        <v>0.39</v>
      </c>
      <c r="O42" s="3">
        <v>1</v>
      </c>
      <c r="P42" s="3">
        <f t="shared" si="0"/>
        <v>48</v>
      </c>
      <c r="Q42" s="13">
        <f t="shared" si="1"/>
        <v>0.39</v>
      </c>
    </row>
    <row r="43" spans="2:17" x14ac:dyDescent="0.25">
      <c r="B43" s="3" t="s">
        <v>86</v>
      </c>
      <c r="C43" t="s">
        <v>648</v>
      </c>
      <c r="D43" t="s">
        <v>397</v>
      </c>
      <c r="E43" t="s">
        <v>304</v>
      </c>
      <c r="F43" t="s">
        <v>305</v>
      </c>
      <c r="G43">
        <v>16</v>
      </c>
      <c r="H43">
        <v>3.8</v>
      </c>
      <c r="I43">
        <v>7.6</v>
      </c>
      <c r="J43" s="10">
        <v>45505</v>
      </c>
      <c r="K43" t="s">
        <v>398</v>
      </c>
      <c r="L43" s="3" t="s">
        <v>662</v>
      </c>
      <c r="M43" s="3">
        <v>48</v>
      </c>
      <c r="N43" s="12">
        <v>0.39</v>
      </c>
      <c r="O43" s="3">
        <v>1</v>
      </c>
      <c r="P43" s="3">
        <f t="shared" si="0"/>
        <v>48</v>
      </c>
      <c r="Q43" s="13">
        <f t="shared" si="1"/>
        <v>0.39</v>
      </c>
    </row>
    <row r="44" spans="2:17" x14ac:dyDescent="0.25">
      <c r="B44" s="3" t="s">
        <v>86</v>
      </c>
      <c r="C44" t="s">
        <v>648</v>
      </c>
      <c r="D44" t="s">
        <v>399</v>
      </c>
      <c r="E44" t="s">
        <v>73</v>
      </c>
      <c r="F44" t="s">
        <v>308</v>
      </c>
      <c r="G44">
        <v>2</v>
      </c>
      <c r="H44">
        <v>3.8</v>
      </c>
      <c r="I44">
        <v>1.4</v>
      </c>
      <c r="J44" s="10">
        <v>45505</v>
      </c>
      <c r="K44" t="s">
        <v>400</v>
      </c>
      <c r="L44" s="3" t="s">
        <v>662</v>
      </c>
      <c r="M44" s="3">
        <v>48</v>
      </c>
      <c r="N44" s="12">
        <v>0.39</v>
      </c>
      <c r="O44" s="3">
        <v>1</v>
      </c>
      <c r="P44" s="3">
        <f t="shared" si="0"/>
        <v>48</v>
      </c>
      <c r="Q44" s="13">
        <f t="shared" si="1"/>
        <v>0.39</v>
      </c>
    </row>
    <row r="45" spans="2:17" x14ac:dyDescent="0.25">
      <c r="B45" s="3" t="s">
        <v>86</v>
      </c>
      <c r="C45" t="s">
        <v>648</v>
      </c>
      <c r="D45" t="s">
        <v>401</v>
      </c>
      <c r="E45" t="s">
        <v>61</v>
      </c>
      <c r="F45" t="s">
        <v>311</v>
      </c>
      <c r="G45">
        <v>3</v>
      </c>
      <c r="H45">
        <v>3.8</v>
      </c>
      <c r="I45">
        <v>2.1</v>
      </c>
      <c r="J45" s="10">
        <v>45505</v>
      </c>
      <c r="K45" t="s">
        <v>402</v>
      </c>
      <c r="L45" s="3" t="s">
        <v>662</v>
      </c>
      <c r="M45" s="3">
        <v>48</v>
      </c>
      <c r="N45" s="12">
        <v>0.39</v>
      </c>
      <c r="O45" s="3">
        <v>1</v>
      </c>
      <c r="P45" s="3">
        <f t="shared" si="0"/>
        <v>48</v>
      </c>
      <c r="Q45" s="13">
        <f t="shared" si="1"/>
        <v>0.39</v>
      </c>
    </row>
    <row r="46" spans="2:17" x14ac:dyDescent="0.25">
      <c r="B46" s="3" t="s">
        <v>86</v>
      </c>
      <c r="C46" t="s">
        <v>648</v>
      </c>
      <c r="D46" t="s">
        <v>403</v>
      </c>
      <c r="E46" t="s">
        <v>63</v>
      </c>
      <c r="F46" t="s">
        <v>311</v>
      </c>
      <c r="G46">
        <v>3</v>
      </c>
      <c r="H46">
        <v>3.8</v>
      </c>
      <c r="I46">
        <v>2</v>
      </c>
      <c r="J46" s="10">
        <v>45505</v>
      </c>
      <c r="K46" t="s">
        <v>404</v>
      </c>
      <c r="L46" s="3" t="s">
        <v>662</v>
      </c>
      <c r="M46" s="3">
        <v>48</v>
      </c>
      <c r="N46" s="12">
        <v>0.39</v>
      </c>
      <c r="O46" s="3">
        <v>1</v>
      </c>
      <c r="P46" s="3">
        <f t="shared" si="0"/>
        <v>48</v>
      </c>
      <c r="Q46" s="13">
        <f t="shared" si="1"/>
        <v>0.39</v>
      </c>
    </row>
    <row r="47" spans="2:17" x14ac:dyDescent="0.25">
      <c r="B47" s="3" t="s">
        <v>86</v>
      </c>
      <c r="C47" t="s">
        <v>648</v>
      </c>
      <c r="D47" t="s">
        <v>405</v>
      </c>
      <c r="E47" t="s">
        <v>67</v>
      </c>
      <c r="F47" t="s">
        <v>311</v>
      </c>
      <c r="G47">
        <v>3</v>
      </c>
      <c r="H47">
        <v>3.8</v>
      </c>
      <c r="I47">
        <v>1.7</v>
      </c>
      <c r="J47" s="10">
        <v>45505</v>
      </c>
      <c r="K47" t="s">
        <v>406</v>
      </c>
      <c r="L47" s="3" t="s">
        <v>662</v>
      </c>
      <c r="M47" s="3">
        <v>48</v>
      </c>
      <c r="N47" s="12">
        <v>0.39</v>
      </c>
      <c r="O47" s="3">
        <v>1</v>
      </c>
      <c r="P47" s="3">
        <f t="shared" si="0"/>
        <v>48</v>
      </c>
      <c r="Q47" s="13">
        <f t="shared" si="1"/>
        <v>0.39</v>
      </c>
    </row>
    <row r="48" spans="2:17" x14ac:dyDescent="0.25">
      <c r="B48" s="3" t="s">
        <v>86</v>
      </c>
      <c r="C48" t="s">
        <v>648</v>
      </c>
      <c r="D48" t="s">
        <v>407</v>
      </c>
      <c r="E48" t="s">
        <v>102</v>
      </c>
      <c r="F48" t="s">
        <v>316</v>
      </c>
      <c r="G48">
        <v>4</v>
      </c>
      <c r="H48">
        <v>3.8</v>
      </c>
      <c r="I48">
        <v>2.2000000000000002</v>
      </c>
      <c r="J48" s="10">
        <v>45505</v>
      </c>
      <c r="K48" t="s">
        <v>408</v>
      </c>
      <c r="L48" s="3" t="s">
        <v>662</v>
      </c>
      <c r="M48" s="3">
        <v>48</v>
      </c>
      <c r="N48" s="12">
        <v>0.39</v>
      </c>
      <c r="O48" s="3">
        <v>1</v>
      </c>
      <c r="P48" s="3">
        <f t="shared" si="0"/>
        <v>48</v>
      </c>
      <c r="Q48" s="13">
        <f t="shared" si="1"/>
        <v>0.39</v>
      </c>
    </row>
    <row r="49" spans="2:17" x14ac:dyDescent="0.25">
      <c r="B49" s="3" t="s">
        <v>86</v>
      </c>
      <c r="C49" t="s">
        <v>648</v>
      </c>
      <c r="D49" t="s">
        <v>409</v>
      </c>
      <c r="E49" t="s">
        <v>319</v>
      </c>
      <c r="F49" t="s">
        <v>316</v>
      </c>
      <c r="G49">
        <v>4</v>
      </c>
      <c r="H49">
        <v>3.8</v>
      </c>
      <c r="I49">
        <v>2.4</v>
      </c>
      <c r="J49" s="10">
        <v>45505</v>
      </c>
      <c r="K49" t="s">
        <v>410</v>
      </c>
      <c r="L49" s="3" t="s">
        <v>662</v>
      </c>
      <c r="M49" s="3">
        <v>48</v>
      </c>
      <c r="N49" s="12">
        <v>0.39</v>
      </c>
      <c r="O49" s="3">
        <v>1</v>
      </c>
      <c r="P49" s="3">
        <f t="shared" si="0"/>
        <v>48</v>
      </c>
      <c r="Q49" s="13">
        <f t="shared" si="1"/>
        <v>0.39</v>
      </c>
    </row>
    <row r="50" spans="2:17" x14ac:dyDescent="0.25">
      <c r="B50" s="3" t="s">
        <v>86</v>
      </c>
      <c r="C50" t="s">
        <v>648</v>
      </c>
      <c r="D50" t="s">
        <v>411</v>
      </c>
      <c r="E50" t="s">
        <v>35</v>
      </c>
      <c r="F50" t="s">
        <v>316</v>
      </c>
      <c r="G50">
        <v>4</v>
      </c>
      <c r="H50">
        <v>3.8</v>
      </c>
      <c r="I50">
        <v>2.4</v>
      </c>
      <c r="J50" s="10">
        <v>45505</v>
      </c>
      <c r="K50" t="s">
        <v>412</v>
      </c>
      <c r="L50" s="3" t="s">
        <v>662</v>
      </c>
      <c r="M50" s="3">
        <v>48</v>
      </c>
      <c r="N50" s="12">
        <v>0.39</v>
      </c>
      <c r="O50" s="3">
        <v>1</v>
      </c>
      <c r="P50" s="3">
        <f t="shared" si="0"/>
        <v>48</v>
      </c>
      <c r="Q50" s="13">
        <f t="shared" si="1"/>
        <v>0.39</v>
      </c>
    </row>
    <row r="51" spans="2:17" x14ac:dyDescent="0.25">
      <c r="B51" s="3" t="s">
        <v>86</v>
      </c>
      <c r="C51" t="s">
        <v>648</v>
      </c>
      <c r="D51" t="s">
        <v>413</v>
      </c>
      <c r="E51" t="s">
        <v>37</v>
      </c>
      <c r="F51" t="s">
        <v>316</v>
      </c>
      <c r="G51">
        <v>4</v>
      </c>
      <c r="H51">
        <v>3.8</v>
      </c>
      <c r="I51">
        <v>2.2000000000000002</v>
      </c>
      <c r="J51" s="10">
        <v>45505</v>
      </c>
      <c r="K51" t="s">
        <v>414</v>
      </c>
      <c r="L51" s="3" t="s">
        <v>662</v>
      </c>
      <c r="M51" s="3">
        <v>48</v>
      </c>
      <c r="N51" s="12">
        <v>0.39</v>
      </c>
      <c r="O51" s="3">
        <v>1</v>
      </c>
      <c r="P51" s="3">
        <f t="shared" si="0"/>
        <v>48</v>
      </c>
      <c r="Q51" s="13">
        <f t="shared" si="1"/>
        <v>0.39</v>
      </c>
    </row>
    <row r="52" spans="2:17" x14ac:dyDescent="0.25">
      <c r="B52" s="3" t="s">
        <v>86</v>
      </c>
      <c r="C52" t="s">
        <v>648</v>
      </c>
      <c r="D52" t="s">
        <v>415</v>
      </c>
      <c r="E52" t="s">
        <v>326</v>
      </c>
      <c r="F52" t="s">
        <v>327</v>
      </c>
      <c r="G52">
        <v>5</v>
      </c>
      <c r="H52">
        <v>3.8</v>
      </c>
      <c r="I52">
        <v>2.6</v>
      </c>
      <c r="J52" s="10">
        <v>45505</v>
      </c>
      <c r="K52" t="s">
        <v>416</v>
      </c>
      <c r="L52" s="3" t="s">
        <v>662</v>
      </c>
      <c r="M52" s="3">
        <v>48</v>
      </c>
      <c r="N52" s="12">
        <v>0.39</v>
      </c>
      <c r="O52" s="3">
        <v>1</v>
      </c>
      <c r="P52" s="3">
        <f t="shared" si="0"/>
        <v>48</v>
      </c>
      <c r="Q52" s="13">
        <f t="shared" si="1"/>
        <v>0.39</v>
      </c>
    </row>
    <row r="53" spans="2:17" x14ac:dyDescent="0.25">
      <c r="B53" s="3" t="s">
        <v>86</v>
      </c>
      <c r="C53" t="s">
        <v>648</v>
      </c>
      <c r="D53" t="s">
        <v>417</v>
      </c>
      <c r="E53" t="s">
        <v>330</v>
      </c>
      <c r="F53" t="s">
        <v>327</v>
      </c>
      <c r="G53">
        <v>5</v>
      </c>
      <c r="H53">
        <v>3.8</v>
      </c>
      <c r="I53">
        <v>2.9</v>
      </c>
      <c r="J53" s="10">
        <v>45505</v>
      </c>
      <c r="K53" t="s">
        <v>418</v>
      </c>
      <c r="L53" s="3" t="s">
        <v>662</v>
      </c>
      <c r="M53" s="3">
        <v>48</v>
      </c>
      <c r="N53" s="12">
        <v>0.39</v>
      </c>
      <c r="O53" s="3">
        <v>1</v>
      </c>
      <c r="P53" s="3">
        <f t="shared" si="0"/>
        <v>48</v>
      </c>
      <c r="Q53" s="13">
        <f t="shared" si="1"/>
        <v>0.39</v>
      </c>
    </row>
    <row r="54" spans="2:17" x14ac:dyDescent="0.25">
      <c r="B54" s="3" t="s">
        <v>86</v>
      </c>
      <c r="C54" t="s">
        <v>648</v>
      </c>
      <c r="D54" t="s">
        <v>419</v>
      </c>
      <c r="E54" t="s">
        <v>30</v>
      </c>
      <c r="F54" t="s">
        <v>327</v>
      </c>
      <c r="G54">
        <v>5</v>
      </c>
      <c r="H54">
        <v>3.8</v>
      </c>
      <c r="I54">
        <v>2.8</v>
      </c>
      <c r="J54" s="10">
        <v>45505</v>
      </c>
      <c r="K54" t="s">
        <v>420</v>
      </c>
      <c r="L54" s="3" t="s">
        <v>662</v>
      </c>
      <c r="M54" s="3">
        <v>48</v>
      </c>
      <c r="N54" s="12">
        <v>0.39</v>
      </c>
      <c r="O54" s="3">
        <v>1</v>
      </c>
      <c r="P54" s="3">
        <f t="shared" si="0"/>
        <v>48</v>
      </c>
      <c r="Q54" s="13">
        <f t="shared" si="1"/>
        <v>0.39</v>
      </c>
    </row>
    <row r="55" spans="2:17" x14ac:dyDescent="0.25">
      <c r="B55" s="3" t="s">
        <v>86</v>
      </c>
      <c r="C55" t="s">
        <v>648</v>
      </c>
      <c r="D55" t="s">
        <v>421</v>
      </c>
      <c r="E55" t="s">
        <v>32</v>
      </c>
      <c r="F55" t="s">
        <v>327</v>
      </c>
      <c r="G55">
        <v>5</v>
      </c>
      <c r="H55">
        <v>3.8</v>
      </c>
      <c r="I55">
        <v>2.6</v>
      </c>
      <c r="J55" s="10">
        <v>45505</v>
      </c>
      <c r="K55" t="s">
        <v>422</v>
      </c>
      <c r="L55" s="3" t="s">
        <v>662</v>
      </c>
      <c r="M55" s="3">
        <v>48</v>
      </c>
      <c r="N55" s="12">
        <v>0.39</v>
      </c>
      <c r="O55" s="3">
        <v>1</v>
      </c>
      <c r="P55" s="3">
        <f t="shared" si="0"/>
        <v>48</v>
      </c>
      <c r="Q55" s="13">
        <f t="shared" si="1"/>
        <v>0.39</v>
      </c>
    </row>
    <row r="56" spans="2:17" x14ac:dyDescent="0.25">
      <c r="B56" s="3" t="s">
        <v>86</v>
      </c>
      <c r="C56" t="s">
        <v>648</v>
      </c>
      <c r="D56" t="s">
        <v>423</v>
      </c>
      <c r="E56" t="s">
        <v>27</v>
      </c>
      <c r="F56" t="s">
        <v>335</v>
      </c>
      <c r="G56">
        <v>6</v>
      </c>
      <c r="H56">
        <v>3.8</v>
      </c>
      <c r="I56">
        <v>3.1</v>
      </c>
      <c r="J56" s="10">
        <v>45505</v>
      </c>
      <c r="K56" t="s">
        <v>424</v>
      </c>
      <c r="L56" s="3" t="s">
        <v>662</v>
      </c>
      <c r="M56" s="3">
        <v>48</v>
      </c>
      <c r="N56" s="12">
        <v>0.39</v>
      </c>
      <c r="O56" s="3">
        <v>1</v>
      </c>
      <c r="P56" s="3">
        <f t="shared" si="0"/>
        <v>48</v>
      </c>
      <c r="Q56" s="13">
        <f t="shared" si="1"/>
        <v>0.39</v>
      </c>
    </row>
    <row r="57" spans="2:17" x14ac:dyDescent="0.25">
      <c r="B57" s="3" t="s">
        <v>86</v>
      </c>
      <c r="C57" t="s">
        <v>648</v>
      </c>
      <c r="D57" t="s">
        <v>425</v>
      </c>
      <c r="E57" t="s">
        <v>23</v>
      </c>
      <c r="F57" t="s">
        <v>338</v>
      </c>
      <c r="G57">
        <v>8</v>
      </c>
      <c r="H57">
        <v>3.8</v>
      </c>
      <c r="I57">
        <v>5.2</v>
      </c>
      <c r="J57" s="10">
        <v>45505</v>
      </c>
      <c r="K57" t="s">
        <v>426</v>
      </c>
      <c r="L57" s="3" t="s">
        <v>662</v>
      </c>
      <c r="M57" s="3">
        <v>48</v>
      </c>
      <c r="N57" s="12">
        <v>0.39</v>
      </c>
      <c r="O57" s="3">
        <v>1</v>
      </c>
      <c r="P57" s="3">
        <f t="shared" si="0"/>
        <v>48</v>
      </c>
      <c r="Q57" s="13">
        <f t="shared" si="1"/>
        <v>0.39</v>
      </c>
    </row>
    <row r="58" spans="2:17" x14ac:dyDescent="0.25">
      <c r="B58" s="3" t="s">
        <v>129</v>
      </c>
      <c r="C58" t="s">
        <v>649</v>
      </c>
      <c r="D58" t="s">
        <v>427</v>
      </c>
      <c r="E58" t="s">
        <v>304</v>
      </c>
      <c r="F58" t="s">
        <v>428</v>
      </c>
      <c r="G58">
        <v>32</v>
      </c>
      <c r="H58">
        <v>32</v>
      </c>
      <c r="I58">
        <v>20</v>
      </c>
      <c r="J58" s="10">
        <v>45554</v>
      </c>
      <c r="K58" t="s">
        <v>429</v>
      </c>
      <c r="L58" s="3" t="s">
        <v>662</v>
      </c>
      <c r="M58" s="3">
        <v>48</v>
      </c>
      <c r="N58" s="12">
        <v>0.39</v>
      </c>
      <c r="O58" s="3">
        <v>1</v>
      </c>
      <c r="P58" s="3">
        <f t="shared" si="0"/>
        <v>48</v>
      </c>
      <c r="Q58" s="13">
        <f t="shared" si="1"/>
        <v>0.39</v>
      </c>
    </row>
    <row r="59" spans="2:17" x14ac:dyDescent="0.25">
      <c r="B59" s="3" t="s">
        <v>129</v>
      </c>
      <c r="C59" t="s">
        <v>649</v>
      </c>
      <c r="D59" t="s">
        <v>430</v>
      </c>
      <c r="E59" t="s">
        <v>305</v>
      </c>
      <c r="F59" t="s">
        <v>305</v>
      </c>
      <c r="G59">
        <v>16</v>
      </c>
      <c r="H59">
        <v>32</v>
      </c>
      <c r="I59">
        <v>66</v>
      </c>
      <c r="J59" s="10">
        <v>45554</v>
      </c>
      <c r="K59" t="s">
        <v>431</v>
      </c>
      <c r="L59" s="3" t="s">
        <v>662</v>
      </c>
      <c r="M59" s="3">
        <v>48</v>
      </c>
      <c r="N59" s="12">
        <v>0.39</v>
      </c>
      <c r="O59" s="3">
        <v>2</v>
      </c>
      <c r="P59" s="3">
        <f t="shared" si="0"/>
        <v>96</v>
      </c>
      <c r="Q59" s="13">
        <f t="shared" si="1"/>
        <v>0.78</v>
      </c>
    </row>
    <row r="60" spans="2:17" x14ac:dyDescent="0.25">
      <c r="B60" s="3" t="s">
        <v>129</v>
      </c>
      <c r="C60" t="s">
        <v>649</v>
      </c>
      <c r="D60" t="s">
        <v>432</v>
      </c>
      <c r="E60" t="s">
        <v>73</v>
      </c>
      <c r="F60" t="s">
        <v>308</v>
      </c>
      <c r="G60">
        <v>2</v>
      </c>
      <c r="H60">
        <v>32</v>
      </c>
      <c r="I60">
        <v>12</v>
      </c>
      <c r="J60" s="10">
        <v>45554</v>
      </c>
      <c r="K60" t="s">
        <v>433</v>
      </c>
      <c r="L60" s="3" t="s">
        <v>662</v>
      </c>
      <c r="M60" s="3">
        <v>48</v>
      </c>
      <c r="N60" s="12">
        <v>0.39</v>
      </c>
      <c r="O60" s="3">
        <v>1</v>
      </c>
      <c r="P60" s="3">
        <f t="shared" si="0"/>
        <v>48</v>
      </c>
      <c r="Q60" s="13">
        <f t="shared" si="1"/>
        <v>0.39</v>
      </c>
    </row>
    <row r="61" spans="2:17" x14ac:dyDescent="0.25">
      <c r="B61" s="3" t="s">
        <v>129</v>
      </c>
      <c r="C61" t="s">
        <v>649</v>
      </c>
      <c r="D61" t="s">
        <v>434</v>
      </c>
      <c r="E61" t="s">
        <v>61</v>
      </c>
      <c r="F61" t="s">
        <v>311</v>
      </c>
      <c r="G61">
        <v>3</v>
      </c>
      <c r="H61">
        <v>32</v>
      </c>
      <c r="I61">
        <v>17</v>
      </c>
      <c r="J61" s="10">
        <v>45554</v>
      </c>
      <c r="K61" t="s">
        <v>435</v>
      </c>
      <c r="L61" s="3" t="s">
        <v>662</v>
      </c>
      <c r="M61" s="3">
        <v>48</v>
      </c>
      <c r="N61" s="12">
        <v>0.39</v>
      </c>
      <c r="O61" s="3">
        <v>1</v>
      </c>
      <c r="P61" s="3">
        <f t="shared" si="0"/>
        <v>48</v>
      </c>
      <c r="Q61" s="13">
        <f t="shared" si="1"/>
        <v>0.39</v>
      </c>
    </row>
    <row r="62" spans="2:17" x14ac:dyDescent="0.25">
      <c r="B62" s="3" t="s">
        <v>129</v>
      </c>
      <c r="C62" t="s">
        <v>649</v>
      </c>
      <c r="D62" t="s">
        <v>436</v>
      </c>
      <c r="E62" t="s">
        <v>63</v>
      </c>
      <c r="F62" t="s">
        <v>311</v>
      </c>
      <c r="G62">
        <v>3</v>
      </c>
      <c r="H62">
        <v>32</v>
      </c>
      <c r="I62">
        <v>16</v>
      </c>
      <c r="J62" s="10">
        <v>45554</v>
      </c>
      <c r="K62" t="s">
        <v>437</v>
      </c>
      <c r="L62" s="3" t="s">
        <v>662</v>
      </c>
      <c r="M62" s="3">
        <v>48</v>
      </c>
      <c r="N62" s="12">
        <v>0.39</v>
      </c>
      <c r="O62" s="3">
        <v>1</v>
      </c>
      <c r="P62" s="3">
        <f t="shared" si="0"/>
        <v>48</v>
      </c>
      <c r="Q62" s="13">
        <f t="shared" si="1"/>
        <v>0.39</v>
      </c>
    </row>
    <row r="63" spans="2:17" x14ac:dyDescent="0.25">
      <c r="B63" s="3" t="s">
        <v>129</v>
      </c>
      <c r="C63" t="s">
        <v>649</v>
      </c>
      <c r="D63" t="s">
        <v>438</v>
      </c>
      <c r="E63" t="s">
        <v>67</v>
      </c>
      <c r="F63" t="s">
        <v>311</v>
      </c>
      <c r="G63">
        <v>3</v>
      </c>
      <c r="H63">
        <v>32</v>
      </c>
      <c r="I63">
        <v>14</v>
      </c>
      <c r="J63" s="10">
        <v>45554</v>
      </c>
      <c r="K63" t="s">
        <v>439</v>
      </c>
      <c r="L63" s="3" t="s">
        <v>662</v>
      </c>
      <c r="M63" s="3">
        <v>48</v>
      </c>
      <c r="N63" s="12">
        <v>0.39</v>
      </c>
      <c r="O63" s="3">
        <v>1</v>
      </c>
      <c r="P63" s="3">
        <f t="shared" si="0"/>
        <v>48</v>
      </c>
      <c r="Q63" s="13">
        <f t="shared" si="1"/>
        <v>0.39</v>
      </c>
    </row>
    <row r="64" spans="2:17" x14ac:dyDescent="0.25">
      <c r="B64" s="3" t="s">
        <v>129</v>
      </c>
      <c r="C64" t="s">
        <v>649</v>
      </c>
      <c r="D64" t="s">
        <v>440</v>
      </c>
      <c r="E64" t="s">
        <v>102</v>
      </c>
      <c r="F64" t="s">
        <v>316</v>
      </c>
      <c r="G64">
        <v>4</v>
      </c>
      <c r="H64">
        <v>32</v>
      </c>
      <c r="I64">
        <v>19</v>
      </c>
      <c r="J64" s="10">
        <v>45554</v>
      </c>
      <c r="K64" t="s">
        <v>441</v>
      </c>
      <c r="L64" s="3" t="s">
        <v>662</v>
      </c>
      <c r="M64" s="3">
        <v>48</v>
      </c>
      <c r="N64" s="12">
        <v>0.39</v>
      </c>
      <c r="O64" s="3">
        <v>1</v>
      </c>
      <c r="P64" s="3">
        <f t="shared" si="0"/>
        <v>48</v>
      </c>
      <c r="Q64" s="13">
        <f t="shared" si="1"/>
        <v>0.39</v>
      </c>
    </row>
    <row r="65" spans="2:17" x14ac:dyDescent="0.25">
      <c r="B65" s="3" t="s">
        <v>129</v>
      </c>
      <c r="C65" t="s">
        <v>649</v>
      </c>
      <c r="D65" t="s">
        <v>442</v>
      </c>
      <c r="E65" t="s">
        <v>319</v>
      </c>
      <c r="F65" t="s">
        <v>316</v>
      </c>
      <c r="G65">
        <v>4</v>
      </c>
      <c r="H65">
        <v>32</v>
      </c>
      <c r="I65">
        <v>21</v>
      </c>
      <c r="J65" s="10">
        <v>45554</v>
      </c>
      <c r="K65" t="s">
        <v>443</v>
      </c>
      <c r="L65" s="3" t="s">
        <v>662</v>
      </c>
      <c r="M65" s="3">
        <v>48</v>
      </c>
      <c r="N65" s="12">
        <v>0.39</v>
      </c>
      <c r="O65" s="3">
        <v>1</v>
      </c>
      <c r="P65" s="3">
        <f t="shared" si="0"/>
        <v>48</v>
      </c>
      <c r="Q65" s="13">
        <f t="shared" si="1"/>
        <v>0.39</v>
      </c>
    </row>
    <row r="66" spans="2:17" x14ac:dyDescent="0.25">
      <c r="B66" s="3" t="s">
        <v>129</v>
      </c>
      <c r="C66" t="s">
        <v>649</v>
      </c>
      <c r="D66" t="s">
        <v>444</v>
      </c>
      <c r="E66" t="s">
        <v>35</v>
      </c>
      <c r="F66" t="s">
        <v>316</v>
      </c>
      <c r="G66">
        <v>4</v>
      </c>
      <c r="H66">
        <v>32</v>
      </c>
      <c r="I66">
        <v>20</v>
      </c>
      <c r="J66" s="10">
        <v>45554</v>
      </c>
      <c r="K66" t="s">
        <v>445</v>
      </c>
      <c r="L66" s="3" t="s">
        <v>662</v>
      </c>
      <c r="M66" s="3">
        <v>48</v>
      </c>
      <c r="N66" s="12">
        <v>0.39</v>
      </c>
      <c r="O66" s="3">
        <v>1</v>
      </c>
      <c r="P66" s="3">
        <f t="shared" si="0"/>
        <v>48</v>
      </c>
      <c r="Q66" s="13">
        <f t="shared" si="1"/>
        <v>0.39</v>
      </c>
    </row>
    <row r="67" spans="2:17" x14ac:dyDescent="0.25">
      <c r="B67" s="3" t="s">
        <v>129</v>
      </c>
      <c r="C67" t="s">
        <v>649</v>
      </c>
      <c r="D67" t="s">
        <v>446</v>
      </c>
      <c r="E67" t="s">
        <v>37</v>
      </c>
      <c r="F67" t="s">
        <v>316</v>
      </c>
      <c r="G67">
        <v>4</v>
      </c>
      <c r="H67">
        <v>32</v>
      </c>
      <c r="I67">
        <v>19</v>
      </c>
      <c r="J67" s="10">
        <v>45554</v>
      </c>
      <c r="K67" t="s">
        <v>447</v>
      </c>
      <c r="L67" s="3" t="s">
        <v>662</v>
      </c>
      <c r="M67" s="3">
        <v>48</v>
      </c>
      <c r="N67" s="12">
        <v>0.39</v>
      </c>
      <c r="O67" s="3">
        <v>1</v>
      </c>
      <c r="P67" s="3">
        <f t="shared" ref="P67:P130" si="2">M67*O67</f>
        <v>48</v>
      </c>
      <c r="Q67" s="13">
        <f t="shared" ref="Q67:Q130" si="3">N67*O67</f>
        <v>0.39</v>
      </c>
    </row>
    <row r="68" spans="2:17" x14ac:dyDescent="0.25">
      <c r="B68" s="3" t="s">
        <v>129</v>
      </c>
      <c r="C68" t="s">
        <v>649</v>
      </c>
      <c r="D68" t="s">
        <v>448</v>
      </c>
      <c r="E68" t="s">
        <v>326</v>
      </c>
      <c r="F68" t="s">
        <v>327</v>
      </c>
      <c r="G68">
        <v>5</v>
      </c>
      <c r="H68">
        <v>32</v>
      </c>
      <c r="I68">
        <v>23</v>
      </c>
      <c r="J68" s="10">
        <v>45554</v>
      </c>
      <c r="K68" t="s">
        <v>449</v>
      </c>
      <c r="L68" s="3" t="s">
        <v>662</v>
      </c>
      <c r="M68" s="3">
        <v>48</v>
      </c>
      <c r="N68" s="12">
        <v>0.39</v>
      </c>
      <c r="O68" s="3">
        <v>1</v>
      </c>
      <c r="P68" s="3">
        <f t="shared" si="2"/>
        <v>48</v>
      </c>
      <c r="Q68" s="13">
        <f t="shared" si="3"/>
        <v>0.39</v>
      </c>
    </row>
    <row r="69" spans="2:17" x14ac:dyDescent="0.25">
      <c r="B69" s="3" t="s">
        <v>129</v>
      </c>
      <c r="C69" t="s">
        <v>649</v>
      </c>
      <c r="D69" t="s">
        <v>450</v>
      </c>
      <c r="E69" t="s">
        <v>330</v>
      </c>
      <c r="F69" t="s">
        <v>327</v>
      </c>
      <c r="G69">
        <v>5</v>
      </c>
      <c r="H69">
        <v>32</v>
      </c>
      <c r="I69">
        <v>25</v>
      </c>
      <c r="J69" s="10">
        <v>45554</v>
      </c>
      <c r="K69" t="s">
        <v>451</v>
      </c>
      <c r="L69" s="3" t="s">
        <v>662</v>
      </c>
      <c r="M69" s="3">
        <v>48</v>
      </c>
      <c r="N69" s="12">
        <v>0.39</v>
      </c>
      <c r="O69" s="3">
        <v>1</v>
      </c>
      <c r="P69" s="3">
        <f t="shared" si="2"/>
        <v>48</v>
      </c>
      <c r="Q69" s="13">
        <f t="shared" si="3"/>
        <v>0.39</v>
      </c>
    </row>
    <row r="70" spans="2:17" x14ac:dyDescent="0.25">
      <c r="B70" s="3" t="s">
        <v>129</v>
      </c>
      <c r="C70" t="s">
        <v>649</v>
      </c>
      <c r="D70" t="s">
        <v>452</v>
      </c>
      <c r="E70" t="s">
        <v>30</v>
      </c>
      <c r="F70" t="s">
        <v>327</v>
      </c>
      <c r="G70">
        <v>5</v>
      </c>
      <c r="H70">
        <v>32</v>
      </c>
      <c r="I70">
        <v>23</v>
      </c>
      <c r="J70" s="10">
        <v>45554</v>
      </c>
      <c r="K70" t="s">
        <v>453</v>
      </c>
      <c r="L70" s="3" t="s">
        <v>662</v>
      </c>
      <c r="M70" s="3">
        <v>48</v>
      </c>
      <c r="N70" s="12">
        <v>0.39</v>
      </c>
      <c r="O70" s="3">
        <v>1</v>
      </c>
      <c r="P70" s="3">
        <f t="shared" si="2"/>
        <v>48</v>
      </c>
      <c r="Q70" s="13">
        <f t="shared" si="3"/>
        <v>0.39</v>
      </c>
    </row>
    <row r="71" spans="2:17" x14ac:dyDescent="0.25">
      <c r="B71" s="3" t="s">
        <v>129</v>
      </c>
      <c r="C71" t="s">
        <v>649</v>
      </c>
      <c r="D71" t="s">
        <v>454</v>
      </c>
      <c r="E71" t="s">
        <v>32</v>
      </c>
      <c r="F71" t="s">
        <v>327</v>
      </c>
      <c r="G71">
        <v>5</v>
      </c>
      <c r="H71">
        <v>32</v>
      </c>
      <c r="I71">
        <v>23</v>
      </c>
      <c r="J71" s="10">
        <v>45554</v>
      </c>
      <c r="K71" t="s">
        <v>455</v>
      </c>
      <c r="L71" s="3" t="s">
        <v>662</v>
      </c>
      <c r="M71" s="3">
        <v>48</v>
      </c>
      <c r="N71" s="12">
        <v>0.39</v>
      </c>
      <c r="O71" s="3">
        <v>1</v>
      </c>
      <c r="P71" s="3">
        <f t="shared" si="2"/>
        <v>48</v>
      </c>
      <c r="Q71" s="13">
        <f t="shared" si="3"/>
        <v>0.39</v>
      </c>
    </row>
    <row r="72" spans="2:17" x14ac:dyDescent="0.25">
      <c r="B72" s="3" t="s">
        <v>129</v>
      </c>
      <c r="C72" t="s">
        <v>649</v>
      </c>
      <c r="D72" t="s">
        <v>456</v>
      </c>
      <c r="E72" t="s">
        <v>27</v>
      </c>
      <c r="F72" t="s">
        <v>335</v>
      </c>
      <c r="G72">
        <v>6</v>
      </c>
      <c r="H72">
        <v>32</v>
      </c>
      <c r="I72">
        <v>27</v>
      </c>
      <c r="J72" s="10">
        <v>45554</v>
      </c>
      <c r="K72" t="s">
        <v>457</v>
      </c>
      <c r="L72" s="3" t="s">
        <v>662</v>
      </c>
      <c r="M72" s="3">
        <v>48</v>
      </c>
      <c r="N72" s="12">
        <v>0.39</v>
      </c>
      <c r="O72" s="3">
        <v>1</v>
      </c>
      <c r="P72" s="3">
        <f t="shared" si="2"/>
        <v>48</v>
      </c>
      <c r="Q72" s="13">
        <f t="shared" si="3"/>
        <v>0.39</v>
      </c>
    </row>
    <row r="73" spans="2:17" x14ac:dyDescent="0.25">
      <c r="B73" s="3" t="s">
        <v>129</v>
      </c>
      <c r="C73" t="s">
        <v>649</v>
      </c>
      <c r="D73" t="s">
        <v>458</v>
      </c>
      <c r="E73" t="s">
        <v>23</v>
      </c>
      <c r="F73" t="s">
        <v>338</v>
      </c>
      <c r="G73">
        <v>8</v>
      </c>
      <c r="H73">
        <v>32</v>
      </c>
      <c r="I73">
        <v>35</v>
      </c>
      <c r="J73" s="10">
        <v>45554</v>
      </c>
      <c r="K73" t="s">
        <v>459</v>
      </c>
      <c r="L73" s="3" t="s">
        <v>662</v>
      </c>
      <c r="M73" s="3">
        <v>48</v>
      </c>
      <c r="N73" s="12">
        <v>0.39</v>
      </c>
      <c r="O73" s="3">
        <v>1</v>
      </c>
      <c r="P73" s="3">
        <f t="shared" si="2"/>
        <v>48</v>
      </c>
      <c r="Q73" s="13">
        <f t="shared" si="3"/>
        <v>0.39</v>
      </c>
    </row>
    <row r="74" spans="2:17" x14ac:dyDescent="0.25">
      <c r="B74" s="3" t="s">
        <v>129</v>
      </c>
      <c r="C74" t="s">
        <v>650</v>
      </c>
      <c r="D74" t="s">
        <v>460</v>
      </c>
      <c r="E74" t="s">
        <v>304</v>
      </c>
      <c r="F74" t="s">
        <v>428</v>
      </c>
      <c r="G74">
        <v>32</v>
      </c>
      <c r="H74">
        <v>14</v>
      </c>
      <c r="I74">
        <v>9</v>
      </c>
      <c r="J74" s="10">
        <v>45554</v>
      </c>
      <c r="K74" t="s">
        <v>461</v>
      </c>
      <c r="L74" s="3" t="s">
        <v>662</v>
      </c>
      <c r="M74" s="3">
        <v>48</v>
      </c>
      <c r="N74" s="12">
        <v>0.39</v>
      </c>
      <c r="O74" s="3">
        <v>1</v>
      </c>
      <c r="P74" s="3">
        <f t="shared" si="2"/>
        <v>48</v>
      </c>
      <c r="Q74" s="13">
        <f t="shared" si="3"/>
        <v>0.39</v>
      </c>
    </row>
    <row r="75" spans="2:17" x14ac:dyDescent="0.25">
      <c r="B75" s="3" t="s">
        <v>129</v>
      </c>
      <c r="C75" t="s">
        <v>650</v>
      </c>
      <c r="D75" t="s">
        <v>462</v>
      </c>
      <c r="E75" t="s">
        <v>305</v>
      </c>
      <c r="F75" t="s">
        <v>305</v>
      </c>
      <c r="G75">
        <v>16</v>
      </c>
      <c r="H75">
        <v>14</v>
      </c>
      <c r="I75">
        <v>30</v>
      </c>
      <c r="J75" s="10">
        <v>45554</v>
      </c>
      <c r="K75" t="s">
        <v>463</v>
      </c>
      <c r="L75" s="3" t="s">
        <v>662</v>
      </c>
      <c r="M75" s="3">
        <v>48</v>
      </c>
      <c r="N75" s="12">
        <v>0.39</v>
      </c>
      <c r="O75" s="3">
        <v>1</v>
      </c>
      <c r="P75" s="3">
        <f t="shared" si="2"/>
        <v>48</v>
      </c>
      <c r="Q75" s="13">
        <f t="shared" si="3"/>
        <v>0.39</v>
      </c>
    </row>
    <row r="76" spans="2:17" x14ac:dyDescent="0.25">
      <c r="B76" s="3" t="s">
        <v>129</v>
      </c>
      <c r="C76" t="s">
        <v>650</v>
      </c>
      <c r="D76" t="s">
        <v>464</v>
      </c>
      <c r="E76" t="s">
        <v>73</v>
      </c>
      <c r="F76" t="s">
        <v>308</v>
      </c>
      <c r="G76">
        <v>2</v>
      </c>
      <c r="H76">
        <v>14</v>
      </c>
      <c r="I76">
        <v>5.8</v>
      </c>
      <c r="J76" s="10">
        <v>45554</v>
      </c>
      <c r="K76" t="s">
        <v>465</v>
      </c>
      <c r="L76" s="3" t="s">
        <v>662</v>
      </c>
      <c r="M76" s="3">
        <v>48</v>
      </c>
      <c r="N76" s="12">
        <v>0.39</v>
      </c>
      <c r="O76" s="3">
        <v>1</v>
      </c>
      <c r="P76" s="3">
        <f t="shared" si="2"/>
        <v>48</v>
      </c>
      <c r="Q76" s="13">
        <f t="shared" si="3"/>
        <v>0.39</v>
      </c>
    </row>
    <row r="77" spans="2:17" x14ac:dyDescent="0.25">
      <c r="B77" s="3" t="s">
        <v>129</v>
      </c>
      <c r="C77" t="s">
        <v>650</v>
      </c>
      <c r="D77" t="s">
        <v>466</v>
      </c>
      <c r="E77" t="s">
        <v>61</v>
      </c>
      <c r="F77" t="s">
        <v>311</v>
      </c>
      <c r="G77">
        <v>3</v>
      </c>
      <c r="H77">
        <v>14</v>
      </c>
      <c r="I77">
        <v>7.9</v>
      </c>
      <c r="J77" s="10">
        <v>45554</v>
      </c>
      <c r="K77" t="s">
        <v>467</v>
      </c>
      <c r="L77" s="3" t="s">
        <v>662</v>
      </c>
      <c r="M77" s="3">
        <v>48</v>
      </c>
      <c r="N77" s="12">
        <v>0.39</v>
      </c>
      <c r="O77" s="3">
        <v>1</v>
      </c>
      <c r="P77" s="3">
        <f t="shared" si="2"/>
        <v>48</v>
      </c>
      <c r="Q77" s="13">
        <f t="shared" si="3"/>
        <v>0.39</v>
      </c>
    </row>
    <row r="78" spans="2:17" x14ac:dyDescent="0.25">
      <c r="B78" s="3" t="s">
        <v>129</v>
      </c>
      <c r="C78" t="s">
        <v>650</v>
      </c>
      <c r="D78" t="s">
        <v>468</v>
      </c>
      <c r="E78" t="s">
        <v>63</v>
      </c>
      <c r="F78" t="s">
        <v>311</v>
      </c>
      <c r="G78">
        <v>3</v>
      </c>
      <c r="H78">
        <v>14</v>
      </c>
      <c r="I78">
        <v>7.3</v>
      </c>
      <c r="J78" s="10">
        <v>45554</v>
      </c>
      <c r="K78" t="s">
        <v>469</v>
      </c>
      <c r="L78" s="3" t="s">
        <v>662</v>
      </c>
      <c r="M78" s="3">
        <v>48</v>
      </c>
      <c r="N78" s="12">
        <v>0.39</v>
      </c>
      <c r="O78" s="3">
        <v>1</v>
      </c>
      <c r="P78" s="3">
        <f t="shared" si="2"/>
        <v>48</v>
      </c>
      <c r="Q78" s="13">
        <f t="shared" si="3"/>
        <v>0.39</v>
      </c>
    </row>
    <row r="79" spans="2:17" x14ac:dyDescent="0.25">
      <c r="B79" s="3" t="s">
        <v>129</v>
      </c>
      <c r="C79" t="s">
        <v>650</v>
      </c>
      <c r="D79" t="s">
        <v>470</v>
      </c>
      <c r="E79" t="s">
        <v>67</v>
      </c>
      <c r="F79" t="s">
        <v>311</v>
      </c>
      <c r="G79">
        <v>3</v>
      </c>
      <c r="H79">
        <v>14</v>
      </c>
      <c r="I79">
        <v>6.7</v>
      </c>
      <c r="J79" s="10">
        <v>45554</v>
      </c>
      <c r="K79" t="s">
        <v>471</v>
      </c>
      <c r="L79" s="3" t="s">
        <v>662</v>
      </c>
      <c r="M79" s="3">
        <v>48</v>
      </c>
      <c r="N79" s="12">
        <v>0.39</v>
      </c>
      <c r="O79" s="3">
        <v>1</v>
      </c>
      <c r="P79" s="3">
        <f t="shared" si="2"/>
        <v>48</v>
      </c>
      <c r="Q79" s="13">
        <f t="shared" si="3"/>
        <v>0.39</v>
      </c>
    </row>
    <row r="80" spans="2:17" x14ac:dyDescent="0.25">
      <c r="B80" s="3" t="s">
        <v>129</v>
      </c>
      <c r="C80" t="s">
        <v>650</v>
      </c>
      <c r="D80" t="s">
        <v>472</v>
      </c>
      <c r="E80" t="s">
        <v>102</v>
      </c>
      <c r="F80" t="s">
        <v>316</v>
      </c>
      <c r="G80">
        <v>4</v>
      </c>
      <c r="H80">
        <v>14</v>
      </c>
      <c r="I80">
        <v>8.5</v>
      </c>
      <c r="J80" s="10">
        <v>45554</v>
      </c>
      <c r="K80" t="s">
        <v>473</v>
      </c>
      <c r="L80" s="3" t="s">
        <v>662</v>
      </c>
      <c r="M80" s="3">
        <v>48</v>
      </c>
      <c r="N80" s="12">
        <v>0.39</v>
      </c>
      <c r="O80" s="3">
        <v>1</v>
      </c>
      <c r="P80" s="3">
        <f t="shared" si="2"/>
        <v>48</v>
      </c>
      <c r="Q80" s="13">
        <f t="shared" si="3"/>
        <v>0.39</v>
      </c>
    </row>
    <row r="81" spans="2:17" x14ac:dyDescent="0.25">
      <c r="B81" s="3" t="s">
        <v>129</v>
      </c>
      <c r="C81" t="s">
        <v>650</v>
      </c>
      <c r="D81" t="s">
        <v>474</v>
      </c>
      <c r="E81" t="s">
        <v>319</v>
      </c>
      <c r="F81" t="s">
        <v>316</v>
      </c>
      <c r="G81">
        <v>4</v>
      </c>
      <c r="H81">
        <v>14</v>
      </c>
      <c r="I81">
        <v>9.4</v>
      </c>
      <c r="J81" s="10">
        <v>45554</v>
      </c>
      <c r="K81" t="s">
        <v>475</v>
      </c>
      <c r="L81" s="3" t="s">
        <v>662</v>
      </c>
      <c r="M81" s="3">
        <v>48</v>
      </c>
      <c r="N81" s="12">
        <v>0.39</v>
      </c>
      <c r="O81" s="3">
        <v>1</v>
      </c>
      <c r="P81" s="3">
        <f t="shared" si="2"/>
        <v>48</v>
      </c>
      <c r="Q81" s="13">
        <f t="shared" si="3"/>
        <v>0.39</v>
      </c>
    </row>
    <row r="82" spans="2:17" x14ac:dyDescent="0.25">
      <c r="B82" s="3" t="s">
        <v>129</v>
      </c>
      <c r="C82" t="s">
        <v>650</v>
      </c>
      <c r="D82" t="s">
        <v>476</v>
      </c>
      <c r="E82" t="s">
        <v>35</v>
      </c>
      <c r="F82" t="s">
        <v>316</v>
      </c>
      <c r="G82">
        <v>4</v>
      </c>
      <c r="H82">
        <v>14</v>
      </c>
      <c r="I82">
        <v>9</v>
      </c>
      <c r="J82" s="10">
        <v>45554</v>
      </c>
      <c r="K82" t="s">
        <v>477</v>
      </c>
      <c r="L82" s="3" t="s">
        <v>662</v>
      </c>
      <c r="M82" s="3">
        <v>48</v>
      </c>
      <c r="N82" s="12">
        <v>0.39</v>
      </c>
      <c r="O82" s="3">
        <v>1</v>
      </c>
      <c r="P82" s="3">
        <f t="shared" si="2"/>
        <v>48</v>
      </c>
      <c r="Q82" s="13">
        <f t="shared" si="3"/>
        <v>0.39</v>
      </c>
    </row>
    <row r="83" spans="2:17" x14ac:dyDescent="0.25">
      <c r="B83" s="3" t="s">
        <v>129</v>
      </c>
      <c r="C83" t="s">
        <v>650</v>
      </c>
      <c r="D83" t="s">
        <v>478</v>
      </c>
      <c r="E83" t="s">
        <v>37</v>
      </c>
      <c r="F83" t="s">
        <v>316</v>
      </c>
      <c r="G83">
        <v>4</v>
      </c>
      <c r="H83">
        <v>14</v>
      </c>
      <c r="I83">
        <v>8.6</v>
      </c>
      <c r="J83" s="10">
        <v>45554</v>
      </c>
      <c r="K83" t="s">
        <v>479</v>
      </c>
      <c r="L83" s="3" t="s">
        <v>662</v>
      </c>
      <c r="M83" s="3">
        <v>48</v>
      </c>
      <c r="N83" s="12">
        <v>0.39</v>
      </c>
      <c r="O83" s="3">
        <v>1</v>
      </c>
      <c r="P83" s="3">
        <f t="shared" si="2"/>
        <v>48</v>
      </c>
      <c r="Q83" s="13">
        <f t="shared" si="3"/>
        <v>0.39</v>
      </c>
    </row>
    <row r="84" spans="2:17" x14ac:dyDescent="0.25">
      <c r="B84" s="3" t="s">
        <v>129</v>
      </c>
      <c r="C84" t="s">
        <v>650</v>
      </c>
      <c r="D84" t="s">
        <v>480</v>
      </c>
      <c r="E84" t="s">
        <v>326</v>
      </c>
      <c r="F84" t="s">
        <v>327</v>
      </c>
      <c r="G84">
        <v>5</v>
      </c>
      <c r="H84">
        <v>14</v>
      </c>
      <c r="I84">
        <v>10</v>
      </c>
      <c r="J84" s="10">
        <v>45554</v>
      </c>
      <c r="K84" t="s">
        <v>481</v>
      </c>
      <c r="L84" s="3" t="s">
        <v>662</v>
      </c>
      <c r="M84" s="3">
        <v>48</v>
      </c>
      <c r="N84" s="12">
        <v>0.39</v>
      </c>
      <c r="O84" s="3">
        <v>1</v>
      </c>
      <c r="P84" s="3">
        <f t="shared" si="2"/>
        <v>48</v>
      </c>
      <c r="Q84" s="13">
        <f t="shared" si="3"/>
        <v>0.39</v>
      </c>
    </row>
    <row r="85" spans="2:17" x14ac:dyDescent="0.25">
      <c r="B85" s="3" t="s">
        <v>129</v>
      </c>
      <c r="C85" t="s">
        <v>650</v>
      </c>
      <c r="D85" t="s">
        <v>482</v>
      </c>
      <c r="E85" t="s">
        <v>330</v>
      </c>
      <c r="F85" t="s">
        <v>327</v>
      </c>
      <c r="G85">
        <v>5</v>
      </c>
      <c r="H85">
        <v>14</v>
      </c>
      <c r="I85">
        <v>11</v>
      </c>
      <c r="J85" s="10">
        <v>45554</v>
      </c>
      <c r="K85" t="s">
        <v>483</v>
      </c>
      <c r="L85" s="3" t="s">
        <v>662</v>
      </c>
      <c r="M85" s="3">
        <v>48</v>
      </c>
      <c r="N85" s="12">
        <v>0.39</v>
      </c>
      <c r="O85" s="3">
        <v>1</v>
      </c>
      <c r="P85" s="3">
        <f t="shared" si="2"/>
        <v>48</v>
      </c>
      <c r="Q85" s="13">
        <f t="shared" si="3"/>
        <v>0.39</v>
      </c>
    </row>
    <row r="86" spans="2:17" x14ac:dyDescent="0.25">
      <c r="B86" s="3" t="s">
        <v>129</v>
      </c>
      <c r="C86" t="s">
        <v>650</v>
      </c>
      <c r="D86" t="s">
        <v>484</v>
      </c>
      <c r="E86" t="s">
        <v>30</v>
      </c>
      <c r="F86" t="s">
        <v>327</v>
      </c>
      <c r="G86">
        <v>5</v>
      </c>
      <c r="H86">
        <v>14</v>
      </c>
      <c r="I86">
        <v>11</v>
      </c>
      <c r="J86" s="10">
        <v>45554</v>
      </c>
      <c r="K86" t="s">
        <v>485</v>
      </c>
      <c r="L86" s="3" t="s">
        <v>662</v>
      </c>
      <c r="M86" s="3">
        <v>48</v>
      </c>
      <c r="N86" s="12">
        <v>0.39</v>
      </c>
      <c r="O86" s="3">
        <v>1</v>
      </c>
      <c r="P86" s="3">
        <f t="shared" si="2"/>
        <v>48</v>
      </c>
      <c r="Q86" s="13">
        <f t="shared" si="3"/>
        <v>0.39</v>
      </c>
    </row>
    <row r="87" spans="2:17" x14ac:dyDescent="0.25">
      <c r="B87" s="3" t="s">
        <v>129</v>
      </c>
      <c r="C87" t="s">
        <v>650</v>
      </c>
      <c r="D87" t="s">
        <v>486</v>
      </c>
      <c r="E87" t="s">
        <v>32</v>
      </c>
      <c r="F87" t="s">
        <v>327</v>
      </c>
      <c r="G87">
        <v>5</v>
      </c>
      <c r="H87">
        <v>14</v>
      </c>
      <c r="I87">
        <v>10</v>
      </c>
      <c r="J87" s="10">
        <v>45554</v>
      </c>
      <c r="K87" t="s">
        <v>487</v>
      </c>
      <c r="L87" s="3" t="s">
        <v>662</v>
      </c>
      <c r="M87" s="3">
        <v>48</v>
      </c>
      <c r="N87" s="12">
        <v>0.39</v>
      </c>
      <c r="O87" s="3">
        <v>1</v>
      </c>
      <c r="P87" s="3">
        <f t="shared" si="2"/>
        <v>48</v>
      </c>
      <c r="Q87" s="13">
        <f t="shared" si="3"/>
        <v>0.39</v>
      </c>
    </row>
    <row r="88" spans="2:17" x14ac:dyDescent="0.25">
      <c r="B88" s="3" t="s">
        <v>129</v>
      </c>
      <c r="C88" t="s">
        <v>650</v>
      </c>
      <c r="D88" t="s">
        <v>488</v>
      </c>
      <c r="E88" t="s">
        <v>27</v>
      </c>
      <c r="F88" t="s">
        <v>335</v>
      </c>
      <c r="G88">
        <v>6</v>
      </c>
      <c r="H88">
        <v>14</v>
      </c>
      <c r="I88">
        <v>12</v>
      </c>
      <c r="J88" s="10">
        <v>45554</v>
      </c>
      <c r="K88" t="s">
        <v>489</v>
      </c>
      <c r="L88" s="3" t="s">
        <v>662</v>
      </c>
      <c r="M88" s="3">
        <v>48</v>
      </c>
      <c r="N88" s="12">
        <v>0.39</v>
      </c>
      <c r="O88" s="3">
        <v>1</v>
      </c>
      <c r="P88" s="3">
        <f t="shared" si="2"/>
        <v>48</v>
      </c>
      <c r="Q88" s="13">
        <f t="shared" si="3"/>
        <v>0.39</v>
      </c>
    </row>
    <row r="89" spans="2:17" x14ac:dyDescent="0.25">
      <c r="B89" s="3" t="s">
        <v>129</v>
      </c>
      <c r="C89" t="s">
        <v>650</v>
      </c>
      <c r="D89" t="s">
        <v>490</v>
      </c>
      <c r="E89" t="s">
        <v>23</v>
      </c>
      <c r="F89" t="s">
        <v>338</v>
      </c>
      <c r="G89">
        <v>8</v>
      </c>
      <c r="H89">
        <v>14</v>
      </c>
      <c r="I89">
        <v>16</v>
      </c>
      <c r="J89" s="10">
        <v>45554</v>
      </c>
      <c r="K89" t="s">
        <v>491</v>
      </c>
      <c r="L89" s="3" t="s">
        <v>662</v>
      </c>
      <c r="M89" s="3">
        <v>48</v>
      </c>
      <c r="N89" s="12">
        <v>0.39</v>
      </c>
      <c r="O89" s="3">
        <v>1</v>
      </c>
      <c r="P89" s="3">
        <f t="shared" si="2"/>
        <v>48</v>
      </c>
      <c r="Q89" s="13">
        <f t="shared" si="3"/>
        <v>0.39</v>
      </c>
    </row>
    <row r="90" spans="2:17" x14ac:dyDescent="0.25">
      <c r="B90" s="3" t="s">
        <v>2</v>
      </c>
      <c r="C90" t="s">
        <v>651</v>
      </c>
      <c r="D90" t="s">
        <v>492</v>
      </c>
      <c r="E90" t="s">
        <v>304</v>
      </c>
      <c r="F90" t="s">
        <v>305</v>
      </c>
      <c r="G90">
        <v>16</v>
      </c>
      <c r="H90">
        <v>27</v>
      </c>
      <c r="I90">
        <v>54</v>
      </c>
      <c r="J90" s="10">
        <v>45470</v>
      </c>
      <c r="K90" t="s">
        <v>493</v>
      </c>
      <c r="L90" s="3" t="s">
        <v>662</v>
      </c>
      <c r="M90" s="3">
        <v>48</v>
      </c>
      <c r="N90" s="12">
        <v>0.39</v>
      </c>
      <c r="O90" s="3">
        <v>2</v>
      </c>
      <c r="P90" s="3">
        <f t="shared" si="2"/>
        <v>96</v>
      </c>
      <c r="Q90" s="13">
        <f t="shared" si="3"/>
        <v>0.78</v>
      </c>
    </row>
    <row r="91" spans="2:17" x14ac:dyDescent="0.25">
      <c r="B91" s="3" t="s">
        <v>2</v>
      </c>
      <c r="C91" t="s">
        <v>651</v>
      </c>
      <c r="D91" t="s">
        <v>494</v>
      </c>
      <c r="E91" t="s">
        <v>73</v>
      </c>
      <c r="F91" t="s">
        <v>308</v>
      </c>
      <c r="G91">
        <v>2</v>
      </c>
      <c r="H91">
        <v>27</v>
      </c>
      <c r="I91">
        <v>10</v>
      </c>
      <c r="J91" s="10">
        <v>45470</v>
      </c>
      <c r="K91" t="s">
        <v>495</v>
      </c>
      <c r="L91" s="3" t="s">
        <v>662</v>
      </c>
      <c r="M91" s="3">
        <v>48</v>
      </c>
      <c r="N91" s="12">
        <v>0.39</v>
      </c>
      <c r="O91" s="3">
        <v>1</v>
      </c>
      <c r="P91" s="3">
        <f t="shared" si="2"/>
        <v>48</v>
      </c>
      <c r="Q91" s="13">
        <f t="shared" si="3"/>
        <v>0.39</v>
      </c>
    </row>
    <row r="92" spans="2:17" x14ac:dyDescent="0.25">
      <c r="B92" s="3" t="s">
        <v>2</v>
      </c>
      <c r="C92" t="s">
        <v>651</v>
      </c>
      <c r="D92" t="s">
        <v>496</v>
      </c>
      <c r="E92" t="s">
        <v>61</v>
      </c>
      <c r="F92" t="s">
        <v>311</v>
      </c>
      <c r="G92">
        <v>3</v>
      </c>
      <c r="H92">
        <v>27</v>
      </c>
      <c r="I92">
        <v>15</v>
      </c>
      <c r="J92" s="10">
        <v>45470</v>
      </c>
      <c r="K92" t="s">
        <v>497</v>
      </c>
      <c r="L92" s="3" t="s">
        <v>662</v>
      </c>
      <c r="M92" s="3">
        <v>48</v>
      </c>
      <c r="N92" s="12">
        <v>0.39</v>
      </c>
      <c r="O92" s="3">
        <v>1</v>
      </c>
      <c r="P92" s="3">
        <f t="shared" si="2"/>
        <v>48</v>
      </c>
      <c r="Q92" s="13">
        <f t="shared" si="3"/>
        <v>0.39</v>
      </c>
    </row>
    <row r="93" spans="2:17" x14ac:dyDescent="0.25">
      <c r="B93" s="3" t="s">
        <v>2</v>
      </c>
      <c r="C93" t="s">
        <v>651</v>
      </c>
      <c r="D93" t="s">
        <v>498</v>
      </c>
      <c r="E93" t="s">
        <v>63</v>
      </c>
      <c r="F93" t="s">
        <v>311</v>
      </c>
      <c r="G93">
        <v>3</v>
      </c>
      <c r="H93">
        <v>27</v>
      </c>
      <c r="I93">
        <v>13</v>
      </c>
      <c r="J93" s="10">
        <v>45470</v>
      </c>
      <c r="K93" t="s">
        <v>499</v>
      </c>
      <c r="L93" s="3" t="s">
        <v>662</v>
      </c>
      <c r="M93" s="3">
        <v>48</v>
      </c>
      <c r="N93" s="12">
        <v>0.39</v>
      </c>
      <c r="O93" s="3">
        <v>1</v>
      </c>
      <c r="P93" s="3">
        <f t="shared" si="2"/>
        <v>48</v>
      </c>
      <c r="Q93" s="13">
        <f t="shared" si="3"/>
        <v>0.39</v>
      </c>
    </row>
    <row r="94" spans="2:17" x14ac:dyDescent="0.25">
      <c r="B94" s="3" t="s">
        <v>2</v>
      </c>
      <c r="C94" t="s">
        <v>651</v>
      </c>
      <c r="D94" t="s">
        <v>500</v>
      </c>
      <c r="E94" t="s">
        <v>67</v>
      </c>
      <c r="F94" t="s">
        <v>311</v>
      </c>
      <c r="G94">
        <v>3</v>
      </c>
      <c r="H94">
        <v>27</v>
      </c>
      <c r="I94">
        <v>12</v>
      </c>
      <c r="J94" s="10">
        <v>45470</v>
      </c>
      <c r="K94" t="s">
        <v>501</v>
      </c>
      <c r="L94" s="3" t="s">
        <v>662</v>
      </c>
      <c r="M94" s="3">
        <v>48</v>
      </c>
      <c r="N94" s="12">
        <v>0.39</v>
      </c>
      <c r="O94" s="3">
        <v>1</v>
      </c>
      <c r="P94" s="3">
        <f t="shared" si="2"/>
        <v>48</v>
      </c>
      <c r="Q94" s="13">
        <f t="shared" si="3"/>
        <v>0.39</v>
      </c>
    </row>
    <row r="95" spans="2:17" x14ac:dyDescent="0.25">
      <c r="B95" s="3" t="s">
        <v>2</v>
      </c>
      <c r="C95" t="s">
        <v>651</v>
      </c>
      <c r="D95" t="s">
        <v>502</v>
      </c>
      <c r="E95" t="s">
        <v>102</v>
      </c>
      <c r="F95" t="s">
        <v>316</v>
      </c>
      <c r="G95">
        <v>4</v>
      </c>
      <c r="H95">
        <v>27</v>
      </c>
      <c r="I95">
        <v>16</v>
      </c>
      <c r="J95" s="10">
        <v>45470</v>
      </c>
      <c r="K95" t="s">
        <v>503</v>
      </c>
      <c r="L95" s="3" t="s">
        <v>662</v>
      </c>
      <c r="M95" s="3">
        <v>48</v>
      </c>
      <c r="N95" s="12">
        <v>0.39</v>
      </c>
      <c r="O95" s="3">
        <v>1</v>
      </c>
      <c r="P95" s="3">
        <f t="shared" si="2"/>
        <v>48</v>
      </c>
      <c r="Q95" s="13">
        <f t="shared" si="3"/>
        <v>0.39</v>
      </c>
    </row>
    <row r="96" spans="2:17" x14ac:dyDescent="0.25">
      <c r="B96" s="3" t="s">
        <v>2</v>
      </c>
      <c r="C96" t="s">
        <v>651</v>
      </c>
      <c r="D96" t="s">
        <v>504</v>
      </c>
      <c r="E96" t="s">
        <v>319</v>
      </c>
      <c r="F96" t="s">
        <v>316</v>
      </c>
      <c r="G96">
        <v>4</v>
      </c>
      <c r="H96">
        <v>27</v>
      </c>
      <c r="I96">
        <v>17</v>
      </c>
      <c r="J96" s="10">
        <v>45470</v>
      </c>
      <c r="K96" t="s">
        <v>505</v>
      </c>
      <c r="L96" s="3" t="s">
        <v>662</v>
      </c>
      <c r="M96" s="3">
        <v>48</v>
      </c>
      <c r="N96" s="12">
        <v>0.39</v>
      </c>
      <c r="O96" s="3">
        <v>1</v>
      </c>
      <c r="P96" s="3">
        <f t="shared" si="2"/>
        <v>48</v>
      </c>
      <c r="Q96" s="13">
        <f t="shared" si="3"/>
        <v>0.39</v>
      </c>
    </row>
    <row r="97" spans="2:17" x14ac:dyDescent="0.25">
      <c r="B97" s="3" t="s">
        <v>2</v>
      </c>
      <c r="C97" t="s">
        <v>651</v>
      </c>
      <c r="D97" t="s">
        <v>506</v>
      </c>
      <c r="E97" t="s">
        <v>35</v>
      </c>
      <c r="F97" t="s">
        <v>316</v>
      </c>
      <c r="G97">
        <v>4</v>
      </c>
      <c r="H97">
        <v>27</v>
      </c>
      <c r="I97">
        <v>17</v>
      </c>
      <c r="J97" s="10">
        <v>45470</v>
      </c>
      <c r="K97" t="s">
        <v>507</v>
      </c>
      <c r="L97" s="3" t="s">
        <v>662</v>
      </c>
      <c r="M97" s="3">
        <v>48</v>
      </c>
      <c r="N97" s="12">
        <v>0.39</v>
      </c>
      <c r="O97" s="3">
        <v>1</v>
      </c>
      <c r="P97" s="3">
        <f t="shared" si="2"/>
        <v>48</v>
      </c>
      <c r="Q97" s="13">
        <f t="shared" si="3"/>
        <v>0.39</v>
      </c>
    </row>
    <row r="98" spans="2:17" x14ac:dyDescent="0.25">
      <c r="B98" s="3" t="s">
        <v>2</v>
      </c>
      <c r="C98" t="s">
        <v>651</v>
      </c>
      <c r="D98" t="s">
        <v>508</v>
      </c>
      <c r="E98" t="s">
        <v>37</v>
      </c>
      <c r="F98" t="s">
        <v>316</v>
      </c>
      <c r="G98">
        <v>4</v>
      </c>
      <c r="H98">
        <v>27</v>
      </c>
      <c r="I98">
        <v>16</v>
      </c>
      <c r="J98" s="10">
        <v>45470</v>
      </c>
      <c r="K98" t="s">
        <v>509</v>
      </c>
      <c r="L98" s="3" t="s">
        <v>662</v>
      </c>
      <c r="M98" s="3">
        <v>48</v>
      </c>
      <c r="N98" s="12">
        <v>0.39</v>
      </c>
      <c r="O98" s="3">
        <v>1</v>
      </c>
      <c r="P98" s="3">
        <f t="shared" si="2"/>
        <v>48</v>
      </c>
      <c r="Q98" s="13">
        <f t="shared" si="3"/>
        <v>0.39</v>
      </c>
    </row>
    <row r="99" spans="2:17" x14ac:dyDescent="0.25">
      <c r="B99" s="3" t="s">
        <v>2</v>
      </c>
      <c r="C99" t="s">
        <v>651</v>
      </c>
      <c r="D99" t="s">
        <v>510</v>
      </c>
      <c r="E99" t="s">
        <v>326</v>
      </c>
      <c r="F99" t="s">
        <v>327</v>
      </c>
      <c r="G99">
        <v>5</v>
      </c>
      <c r="H99">
        <v>27</v>
      </c>
      <c r="I99">
        <v>19</v>
      </c>
      <c r="J99" s="10">
        <v>45470</v>
      </c>
      <c r="K99" t="s">
        <v>511</v>
      </c>
      <c r="L99" s="3" t="s">
        <v>662</v>
      </c>
      <c r="M99" s="3">
        <v>48</v>
      </c>
      <c r="N99" s="12">
        <v>0.39</v>
      </c>
      <c r="O99" s="3">
        <v>1</v>
      </c>
      <c r="P99" s="3">
        <f t="shared" si="2"/>
        <v>48</v>
      </c>
      <c r="Q99" s="13">
        <f t="shared" si="3"/>
        <v>0.39</v>
      </c>
    </row>
    <row r="100" spans="2:17" x14ac:dyDescent="0.25">
      <c r="B100" s="3" t="s">
        <v>2</v>
      </c>
      <c r="C100" t="s">
        <v>651</v>
      </c>
      <c r="D100" t="s">
        <v>512</v>
      </c>
      <c r="E100" t="s">
        <v>330</v>
      </c>
      <c r="F100" t="s">
        <v>327</v>
      </c>
      <c r="G100">
        <v>5</v>
      </c>
      <c r="H100">
        <v>27</v>
      </c>
      <c r="I100">
        <v>21</v>
      </c>
      <c r="J100" s="10">
        <v>45470</v>
      </c>
      <c r="K100" t="s">
        <v>513</v>
      </c>
      <c r="L100" s="3" t="s">
        <v>662</v>
      </c>
      <c r="M100" s="3">
        <v>48</v>
      </c>
      <c r="N100" s="12">
        <v>0.39</v>
      </c>
      <c r="O100" s="3">
        <v>1</v>
      </c>
      <c r="P100" s="3">
        <f t="shared" si="2"/>
        <v>48</v>
      </c>
      <c r="Q100" s="13">
        <f t="shared" si="3"/>
        <v>0.39</v>
      </c>
    </row>
    <row r="101" spans="2:17" x14ac:dyDescent="0.25">
      <c r="B101" s="3" t="s">
        <v>2</v>
      </c>
      <c r="C101" t="s">
        <v>651</v>
      </c>
      <c r="D101" t="s">
        <v>514</v>
      </c>
      <c r="E101" t="s">
        <v>30</v>
      </c>
      <c r="F101" t="s">
        <v>327</v>
      </c>
      <c r="G101">
        <v>5</v>
      </c>
      <c r="H101">
        <v>27</v>
      </c>
      <c r="I101">
        <v>19</v>
      </c>
      <c r="J101" s="10">
        <v>45470</v>
      </c>
      <c r="K101" t="s">
        <v>515</v>
      </c>
      <c r="L101" s="3" t="s">
        <v>662</v>
      </c>
      <c r="M101" s="3">
        <v>48</v>
      </c>
      <c r="N101" s="12">
        <v>0.39</v>
      </c>
      <c r="O101" s="3">
        <v>1</v>
      </c>
      <c r="P101" s="3">
        <f t="shared" si="2"/>
        <v>48</v>
      </c>
      <c r="Q101" s="13">
        <f t="shared" si="3"/>
        <v>0.39</v>
      </c>
    </row>
    <row r="102" spans="2:17" x14ac:dyDescent="0.25">
      <c r="B102" s="3" t="s">
        <v>2</v>
      </c>
      <c r="C102" t="s">
        <v>651</v>
      </c>
      <c r="D102" t="s">
        <v>516</v>
      </c>
      <c r="E102" t="s">
        <v>32</v>
      </c>
      <c r="F102" t="s">
        <v>327</v>
      </c>
      <c r="G102">
        <v>5</v>
      </c>
      <c r="H102">
        <v>27</v>
      </c>
      <c r="I102">
        <v>19</v>
      </c>
      <c r="J102" s="10">
        <v>45470</v>
      </c>
      <c r="K102" t="s">
        <v>517</v>
      </c>
      <c r="L102" s="3" t="s">
        <v>662</v>
      </c>
      <c r="M102" s="3">
        <v>48</v>
      </c>
      <c r="N102" s="12">
        <v>0.39</v>
      </c>
      <c r="O102" s="3">
        <v>1</v>
      </c>
      <c r="P102" s="3">
        <f t="shared" si="2"/>
        <v>48</v>
      </c>
      <c r="Q102" s="13">
        <f t="shared" si="3"/>
        <v>0.39</v>
      </c>
    </row>
    <row r="103" spans="2:17" x14ac:dyDescent="0.25">
      <c r="B103" s="3" t="s">
        <v>2</v>
      </c>
      <c r="C103" t="s">
        <v>651</v>
      </c>
      <c r="D103" t="s">
        <v>518</v>
      </c>
      <c r="E103" t="s">
        <v>27</v>
      </c>
      <c r="F103" t="s">
        <v>335</v>
      </c>
      <c r="G103">
        <v>6</v>
      </c>
      <c r="H103">
        <v>27</v>
      </c>
      <c r="I103">
        <v>22</v>
      </c>
      <c r="J103" s="10">
        <v>45470</v>
      </c>
      <c r="K103" t="s">
        <v>519</v>
      </c>
      <c r="L103" s="3" t="s">
        <v>662</v>
      </c>
      <c r="M103" s="3">
        <v>48</v>
      </c>
      <c r="N103" s="12">
        <v>0.39</v>
      </c>
      <c r="O103" s="3">
        <v>1</v>
      </c>
      <c r="P103" s="3">
        <f t="shared" si="2"/>
        <v>48</v>
      </c>
      <c r="Q103" s="13">
        <f t="shared" si="3"/>
        <v>0.39</v>
      </c>
    </row>
    <row r="104" spans="2:17" x14ac:dyDescent="0.25">
      <c r="B104" s="3" t="s">
        <v>2</v>
      </c>
      <c r="C104" t="s">
        <v>651</v>
      </c>
      <c r="D104" t="s">
        <v>520</v>
      </c>
      <c r="E104" t="s">
        <v>23</v>
      </c>
      <c r="F104" t="s">
        <v>338</v>
      </c>
      <c r="G104">
        <v>8</v>
      </c>
      <c r="H104">
        <v>27</v>
      </c>
      <c r="I104">
        <v>29</v>
      </c>
      <c r="J104" s="10">
        <v>45470</v>
      </c>
      <c r="K104" t="s">
        <v>521</v>
      </c>
      <c r="L104" s="3" t="s">
        <v>662</v>
      </c>
      <c r="M104" s="3">
        <v>48</v>
      </c>
      <c r="N104" s="12">
        <v>0.39</v>
      </c>
      <c r="O104" s="3">
        <v>1</v>
      </c>
      <c r="P104" s="3">
        <f t="shared" si="2"/>
        <v>48</v>
      </c>
      <c r="Q104" s="13">
        <f t="shared" si="3"/>
        <v>0.39</v>
      </c>
    </row>
    <row r="105" spans="2:17" x14ac:dyDescent="0.25">
      <c r="B105" s="3" t="s">
        <v>2</v>
      </c>
      <c r="C105" t="s">
        <v>652</v>
      </c>
      <c r="D105" t="s">
        <v>522</v>
      </c>
      <c r="E105" t="s">
        <v>304</v>
      </c>
      <c r="F105" t="s">
        <v>305</v>
      </c>
      <c r="G105">
        <v>16</v>
      </c>
      <c r="H105">
        <v>9</v>
      </c>
      <c r="I105">
        <v>18</v>
      </c>
      <c r="J105" s="10">
        <v>45470</v>
      </c>
      <c r="K105" t="s">
        <v>523</v>
      </c>
      <c r="L105" s="3" t="s">
        <v>662</v>
      </c>
      <c r="M105" s="3">
        <v>48</v>
      </c>
      <c r="N105" s="12">
        <v>0.39</v>
      </c>
      <c r="O105" s="3">
        <v>1</v>
      </c>
      <c r="P105" s="3">
        <f t="shared" si="2"/>
        <v>48</v>
      </c>
      <c r="Q105" s="13">
        <f t="shared" si="3"/>
        <v>0.39</v>
      </c>
    </row>
    <row r="106" spans="2:17" x14ac:dyDescent="0.25">
      <c r="B106" s="3" t="s">
        <v>2</v>
      </c>
      <c r="C106" t="s">
        <v>652</v>
      </c>
      <c r="D106" t="s">
        <v>524</v>
      </c>
      <c r="E106" t="s">
        <v>73</v>
      </c>
      <c r="F106" t="s">
        <v>308</v>
      </c>
      <c r="G106">
        <v>2</v>
      </c>
      <c r="H106">
        <v>9</v>
      </c>
      <c r="I106">
        <v>3.3</v>
      </c>
      <c r="J106" s="10">
        <v>45470</v>
      </c>
      <c r="K106" t="s">
        <v>525</v>
      </c>
      <c r="L106" s="3" t="s">
        <v>662</v>
      </c>
      <c r="M106" s="3">
        <v>48</v>
      </c>
      <c r="N106" s="12">
        <v>0.39</v>
      </c>
      <c r="O106" s="3">
        <v>1</v>
      </c>
      <c r="P106" s="3">
        <f t="shared" si="2"/>
        <v>48</v>
      </c>
      <c r="Q106" s="13">
        <f t="shared" si="3"/>
        <v>0.39</v>
      </c>
    </row>
    <row r="107" spans="2:17" x14ac:dyDescent="0.25">
      <c r="B107" s="3" t="s">
        <v>2</v>
      </c>
      <c r="C107" t="s">
        <v>652</v>
      </c>
      <c r="D107" t="s">
        <v>526</v>
      </c>
      <c r="E107" t="s">
        <v>61</v>
      </c>
      <c r="F107" t="s">
        <v>311</v>
      </c>
      <c r="G107">
        <v>3</v>
      </c>
      <c r="H107">
        <v>9</v>
      </c>
      <c r="I107">
        <v>4.5</v>
      </c>
      <c r="J107" s="10">
        <v>45470</v>
      </c>
      <c r="K107" t="s">
        <v>527</v>
      </c>
      <c r="L107" s="3" t="s">
        <v>662</v>
      </c>
      <c r="M107" s="3">
        <v>48</v>
      </c>
      <c r="N107" s="12">
        <v>0.39</v>
      </c>
      <c r="O107" s="3">
        <v>1</v>
      </c>
      <c r="P107" s="3">
        <f t="shared" si="2"/>
        <v>48</v>
      </c>
      <c r="Q107" s="13">
        <f t="shared" si="3"/>
        <v>0.39</v>
      </c>
    </row>
    <row r="108" spans="2:17" x14ac:dyDescent="0.25">
      <c r="B108" s="3" t="s">
        <v>2</v>
      </c>
      <c r="C108" t="s">
        <v>652</v>
      </c>
      <c r="D108" t="s">
        <v>528</v>
      </c>
      <c r="E108" t="s">
        <v>63</v>
      </c>
      <c r="F108" t="s">
        <v>311</v>
      </c>
      <c r="G108">
        <v>3</v>
      </c>
      <c r="H108">
        <v>9</v>
      </c>
      <c r="I108">
        <v>4</v>
      </c>
      <c r="J108" s="10">
        <v>45470</v>
      </c>
      <c r="K108" t="s">
        <v>529</v>
      </c>
      <c r="L108" s="3" t="s">
        <v>662</v>
      </c>
      <c r="M108" s="3">
        <v>48</v>
      </c>
      <c r="N108" s="12">
        <v>0.39</v>
      </c>
      <c r="O108" s="3">
        <v>1</v>
      </c>
      <c r="P108" s="3">
        <f t="shared" si="2"/>
        <v>48</v>
      </c>
      <c r="Q108" s="13">
        <f t="shared" si="3"/>
        <v>0.39</v>
      </c>
    </row>
    <row r="109" spans="2:17" x14ac:dyDescent="0.25">
      <c r="B109" s="3" t="s">
        <v>2</v>
      </c>
      <c r="C109" t="s">
        <v>652</v>
      </c>
      <c r="D109" t="s">
        <v>530</v>
      </c>
      <c r="E109" t="s">
        <v>67</v>
      </c>
      <c r="F109" t="s">
        <v>311</v>
      </c>
      <c r="G109">
        <v>3</v>
      </c>
      <c r="H109">
        <v>9</v>
      </c>
      <c r="I109">
        <v>3.6</v>
      </c>
      <c r="J109" s="10">
        <v>45470</v>
      </c>
      <c r="K109" t="s">
        <v>531</v>
      </c>
      <c r="L109" s="3" t="s">
        <v>662</v>
      </c>
      <c r="M109" s="3">
        <v>48</v>
      </c>
      <c r="N109" s="12">
        <v>0.39</v>
      </c>
      <c r="O109" s="3">
        <v>1</v>
      </c>
      <c r="P109" s="3">
        <f t="shared" si="2"/>
        <v>48</v>
      </c>
      <c r="Q109" s="13">
        <f t="shared" si="3"/>
        <v>0.39</v>
      </c>
    </row>
    <row r="110" spans="2:17" x14ac:dyDescent="0.25">
      <c r="B110" s="3" t="s">
        <v>2</v>
      </c>
      <c r="C110" t="s">
        <v>652</v>
      </c>
      <c r="D110" t="s">
        <v>532</v>
      </c>
      <c r="E110" t="s">
        <v>102</v>
      </c>
      <c r="F110" t="s">
        <v>316</v>
      </c>
      <c r="G110">
        <v>4</v>
      </c>
      <c r="H110">
        <v>9</v>
      </c>
      <c r="I110">
        <v>4.8</v>
      </c>
      <c r="J110" s="10">
        <v>45470</v>
      </c>
      <c r="K110" t="s">
        <v>533</v>
      </c>
      <c r="L110" s="3" t="s">
        <v>662</v>
      </c>
      <c r="M110" s="3">
        <v>48</v>
      </c>
      <c r="N110" s="12">
        <v>0.39</v>
      </c>
      <c r="O110" s="3">
        <v>1</v>
      </c>
      <c r="P110" s="3">
        <f t="shared" si="2"/>
        <v>48</v>
      </c>
      <c r="Q110" s="13">
        <f t="shared" si="3"/>
        <v>0.39</v>
      </c>
    </row>
    <row r="111" spans="2:17" x14ac:dyDescent="0.25">
      <c r="B111" s="3" t="s">
        <v>2</v>
      </c>
      <c r="C111" t="s">
        <v>652</v>
      </c>
      <c r="D111" t="s">
        <v>534</v>
      </c>
      <c r="E111" t="s">
        <v>319</v>
      </c>
      <c r="F111" t="s">
        <v>316</v>
      </c>
      <c r="G111">
        <v>4</v>
      </c>
      <c r="H111">
        <v>9</v>
      </c>
      <c r="I111">
        <v>5.0999999999999996</v>
      </c>
      <c r="J111" s="10">
        <v>45470</v>
      </c>
      <c r="K111" t="s">
        <v>535</v>
      </c>
      <c r="L111" s="3" t="s">
        <v>662</v>
      </c>
      <c r="M111" s="3">
        <v>48</v>
      </c>
      <c r="N111" s="12">
        <v>0.39</v>
      </c>
      <c r="O111" s="3">
        <v>1</v>
      </c>
      <c r="P111" s="3">
        <f t="shared" si="2"/>
        <v>48</v>
      </c>
      <c r="Q111" s="13">
        <f t="shared" si="3"/>
        <v>0.39</v>
      </c>
    </row>
    <row r="112" spans="2:17" x14ac:dyDescent="0.25">
      <c r="B112" s="3" t="s">
        <v>2</v>
      </c>
      <c r="C112" t="s">
        <v>652</v>
      </c>
      <c r="D112" t="s">
        <v>536</v>
      </c>
      <c r="E112" t="s">
        <v>35</v>
      </c>
      <c r="F112" t="s">
        <v>316</v>
      </c>
      <c r="G112">
        <v>4</v>
      </c>
      <c r="H112">
        <v>9</v>
      </c>
      <c r="I112">
        <v>5</v>
      </c>
      <c r="J112" s="10">
        <v>45470</v>
      </c>
      <c r="K112" t="s">
        <v>537</v>
      </c>
      <c r="L112" s="3" t="s">
        <v>662</v>
      </c>
      <c r="M112" s="3">
        <v>48</v>
      </c>
      <c r="N112" s="12">
        <v>0.39</v>
      </c>
      <c r="O112" s="3">
        <v>1</v>
      </c>
      <c r="P112" s="3">
        <f t="shared" si="2"/>
        <v>48</v>
      </c>
      <c r="Q112" s="13">
        <f t="shared" si="3"/>
        <v>0.39</v>
      </c>
    </row>
    <row r="113" spans="2:17" x14ac:dyDescent="0.25">
      <c r="B113" s="3" t="s">
        <v>2</v>
      </c>
      <c r="C113" t="s">
        <v>652</v>
      </c>
      <c r="D113" t="s">
        <v>538</v>
      </c>
      <c r="E113" t="s">
        <v>37</v>
      </c>
      <c r="F113" t="s">
        <v>316</v>
      </c>
      <c r="G113">
        <v>4</v>
      </c>
      <c r="H113">
        <v>9</v>
      </c>
      <c r="I113">
        <v>4.7</v>
      </c>
      <c r="J113" s="10">
        <v>45470</v>
      </c>
      <c r="K113" t="s">
        <v>539</v>
      </c>
      <c r="L113" s="3" t="s">
        <v>662</v>
      </c>
      <c r="M113" s="3">
        <v>48</v>
      </c>
      <c r="N113" s="12">
        <v>0.39</v>
      </c>
      <c r="O113" s="3">
        <v>1</v>
      </c>
      <c r="P113" s="3">
        <f t="shared" si="2"/>
        <v>48</v>
      </c>
      <c r="Q113" s="13">
        <f t="shared" si="3"/>
        <v>0.39</v>
      </c>
    </row>
    <row r="114" spans="2:17" x14ac:dyDescent="0.25">
      <c r="B114" s="3" t="s">
        <v>2</v>
      </c>
      <c r="C114" t="s">
        <v>652</v>
      </c>
      <c r="D114" t="s">
        <v>540</v>
      </c>
      <c r="E114" t="s">
        <v>326</v>
      </c>
      <c r="F114" t="s">
        <v>327</v>
      </c>
      <c r="G114">
        <v>5</v>
      </c>
      <c r="H114">
        <v>9</v>
      </c>
      <c r="I114">
        <v>5.7</v>
      </c>
      <c r="J114" s="10">
        <v>45470</v>
      </c>
      <c r="K114" t="s">
        <v>541</v>
      </c>
      <c r="L114" s="3" t="s">
        <v>662</v>
      </c>
      <c r="M114" s="3">
        <v>48</v>
      </c>
      <c r="N114" s="12">
        <v>0.39</v>
      </c>
      <c r="O114" s="3">
        <v>1</v>
      </c>
      <c r="P114" s="3">
        <f t="shared" si="2"/>
        <v>48</v>
      </c>
      <c r="Q114" s="13">
        <f t="shared" si="3"/>
        <v>0.39</v>
      </c>
    </row>
    <row r="115" spans="2:17" x14ac:dyDescent="0.25">
      <c r="B115" s="3" t="s">
        <v>2</v>
      </c>
      <c r="C115" t="s">
        <v>652</v>
      </c>
      <c r="D115" t="s">
        <v>542</v>
      </c>
      <c r="E115" t="s">
        <v>330</v>
      </c>
      <c r="F115" t="s">
        <v>327</v>
      </c>
      <c r="G115">
        <v>5</v>
      </c>
      <c r="H115">
        <v>9</v>
      </c>
      <c r="I115">
        <v>6.3</v>
      </c>
      <c r="J115" s="10">
        <v>45470</v>
      </c>
      <c r="K115" t="s">
        <v>543</v>
      </c>
      <c r="L115" s="3" t="s">
        <v>662</v>
      </c>
      <c r="M115" s="3">
        <v>48</v>
      </c>
      <c r="N115" s="12">
        <v>0.39</v>
      </c>
      <c r="O115" s="3">
        <v>1</v>
      </c>
      <c r="P115" s="3">
        <f t="shared" si="2"/>
        <v>48</v>
      </c>
      <c r="Q115" s="13">
        <f t="shared" si="3"/>
        <v>0.39</v>
      </c>
    </row>
    <row r="116" spans="2:17" x14ac:dyDescent="0.25">
      <c r="B116" s="3" t="s">
        <v>2</v>
      </c>
      <c r="C116" t="s">
        <v>652</v>
      </c>
      <c r="D116" t="s">
        <v>544</v>
      </c>
      <c r="E116" t="s">
        <v>30</v>
      </c>
      <c r="F116" t="s">
        <v>327</v>
      </c>
      <c r="G116">
        <v>5</v>
      </c>
      <c r="H116">
        <v>9</v>
      </c>
      <c r="I116">
        <v>5.8</v>
      </c>
      <c r="J116" s="10">
        <v>45470</v>
      </c>
      <c r="K116" t="s">
        <v>545</v>
      </c>
      <c r="L116" s="3" t="s">
        <v>662</v>
      </c>
      <c r="M116" s="3">
        <v>48</v>
      </c>
      <c r="N116" s="12">
        <v>0.39</v>
      </c>
      <c r="O116" s="3">
        <v>1</v>
      </c>
      <c r="P116" s="3">
        <f t="shared" si="2"/>
        <v>48</v>
      </c>
      <c r="Q116" s="13">
        <f t="shared" si="3"/>
        <v>0.39</v>
      </c>
    </row>
    <row r="117" spans="2:17" x14ac:dyDescent="0.25">
      <c r="B117" s="3" t="s">
        <v>2</v>
      </c>
      <c r="C117" t="s">
        <v>652</v>
      </c>
      <c r="D117" t="s">
        <v>546</v>
      </c>
      <c r="E117" t="s">
        <v>32</v>
      </c>
      <c r="F117" t="s">
        <v>327</v>
      </c>
      <c r="G117">
        <v>5</v>
      </c>
      <c r="H117">
        <v>9</v>
      </c>
      <c r="I117">
        <v>5.7</v>
      </c>
      <c r="J117" s="10">
        <v>45470</v>
      </c>
      <c r="K117" t="s">
        <v>547</v>
      </c>
      <c r="L117" s="3" t="s">
        <v>662</v>
      </c>
      <c r="M117" s="3">
        <v>48</v>
      </c>
      <c r="N117" s="12">
        <v>0.39</v>
      </c>
      <c r="O117" s="3">
        <v>1</v>
      </c>
      <c r="P117" s="3">
        <f t="shared" si="2"/>
        <v>48</v>
      </c>
      <c r="Q117" s="13">
        <f t="shared" si="3"/>
        <v>0.39</v>
      </c>
    </row>
    <row r="118" spans="2:17" x14ac:dyDescent="0.25">
      <c r="B118" s="3" t="s">
        <v>2</v>
      </c>
      <c r="C118" t="s">
        <v>652</v>
      </c>
      <c r="D118" t="s">
        <v>548</v>
      </c>
      <c r="E118" t="s">
        <v>27</v>
      </c>
      <c r="F118" t="s">
        <v>335</v>
      </c>
      <c r="G118">
        <v>6</v>
      </c>
      <c r="H118">
        <v>9</v>
      </c>
      <c r="I118">
        <v>6.7</v>
      </c>
      <c r="J118" s="10">
        <v>45470</v>
      </c>
      <c r="K118" t="s">
        <v>549</v>
      </c>
      <c r="L118" s="3" t="s">
        <v>662</v>
      </c>
      <c r="M118" s="3">
        <v>48</v>
      </c>
      <c r="N118" s="12">
        <v>0.39</v>
      </c>
      <c r="O118" s="3">
        <v>1</v>
      </c>
      <c r="P118" s="3">
        <f t="shared" si="2"/>
        <v>48</v>
      </c>
      <c r="Q118" s="13">
        <f t="shared" si="3"/>
        <v>0.39</v>
      </c>
    </row>
    <row r="119" spans="2:17" x14ac:dyDescent="0.25">
      <c r="B119" s="3" t="s">
        <v>2</v>
      </c>
      <c r="C119" t="s">
        <v>652</v>
      </c>
      <c r="D119" t="s">
        <v>550</v>
      </c>
      <c r="E119" t="s">
        <v>23</v>
      </c>
      <c r="F119" t="s">
        <v>338</v>
      </c>
      <c r="G119">
        <v>8</v>
      </c>
      <c r="H119">
        <v>9</v>
      </c>
      <c r="I119">
        <v>9.1999999999999993</v>
      </c>
      <c r="J119" s="10">
        <v>45470</v>
      </c>
      <c r="K119" t="s">
        <v>551</v>
      </c>
      <c r="L119" s="3" t="s">
        <v>662</v>
      </c>
      <c r="M119" s="3">
        <v>48</v>
      </c>
      <c r="N119" s="12">
        <v>0.39</v>
      </c>
      <c r="O119" s="3">
        <v>1</v>
      </c>
      <c r="P119" s="3">
        <f t="shared" si="2"/>
        <v>48</v>
      </c>
      <c r="Q119" s="13">
        <f t="shared" si="3"/>
        <v>0.39</v>
      </c>
    </row>
    <row r="120" spans="2:17" x14ac:dyDescent="0.25">
      <c r="B120" s="3" t="s">
        <v>2</v>
      </c>
      <c r="C120" t="s">
        <v>653</v>
      </c>
      <c r="D120" t="s">
        <v>552</v>
      </c>
      <c r="E120" t="s">
        <v>304</v>
      </c>
      <c r="F120" t="s">
        <v>305</v>
      </c>
      <c r="G120">
        <v>16</v>
      </c>
      <c r="H120">
        <v>2</v>
      </c>
      <c r="I120">
        <v>4</v>
      </c>
      <c r="J120" s="10">
        <v>45470</v>
      </c>
      <c r="K120" t="s">
        <v>553</v>
      </c>
      <c r="L120" s="3" t="s">
        <v>662</v>
      </c>
      <c r="M120" s="3">
        <v>48</v>
      </c>
      <c r="N120" s="12">
        <v>0.39</v>
      </c>
      <c r="O120" s="3">
        <v>1</v>
      </c>
      <c r="P120" s="3">
        <f t="shared" si="2"/>
        <v>48</v>
      </c>
      <c r="Q120" s="13">
        <f t="shared" si="3"/>
        <v>0.39</v>
      </c>
    </row>
    <row r="121" spans="2:17" x14ac:dyDescent="0.25">
      <c r="B121" s="3" t="s">
        <v>2</v>
      </c>
      <c r="C121" t="s">
        <v>653</v>
      </c>
      <c r="D121" t="s">
        <v>554</v>
      </c>
      <c r="E121" t="s">
        <v>73</v>
      </c>
      <c r="F121" t="s">
        <v>308</v>
      </c>
      <c r="G121">
        <v>2</v>
      </c>
      <c r="H121">
        <v>2</v>
      </c>
      <c r="I121">
        <v>0.8</v>
      </c>
      <c r="J121" s="10">
        <v>45470</v>
      </c>
      <c r="K121" t="s">
        <v>555</v>
      </c>
      <c r="L121" s="3" t="s">
        <v>662</v>
      </c>
      <c r="M121" s="3">
        <v>48</v>
      </c>
      <c r="N121" s="12">
        <v>0.39</v>
      </c>
      <c r="O121" s="3">
        <v>1</v>
      </c>
      <c r="P121" s="3">
        <f t="shared" si="2"/>
        <v>48</v>
      </c>
      <c r="Q121" s="13">
        <f t="shared" si="3"/>
        <v>0.39</v>
      </c>
    </row>
    <row r="122" spans="2:17" x14ac:dyDescent="0.25">
      <c r="B122" s="3" t="s">
        <v>2</v>
      </c>
      <c r="C122" t="s">
        <v>653</v>
      </c>
      <c r="D122" t="s">
        <v>556</v>
      </c>
      <c r="E122" t="s">
        <v>61</v>
      </c>
      <c r="F122" t="s">
        <v>311</v>
      </c>
      <c r="G122">
        <v>3</v>
      </c>
      <c r="H122">
        <v>2</v>
      </c>
      <c r="I122">
        <v>1.2</v>
      </c>
      <c r="J122" s="10">
        <v>45470</v>
      </c>
      <c r="K122" t="s">
        <v>557</v>
      </c>
      <c r="L122" s="3" t="s">
        <v>662</v>
      </c>
      <c r="M122" s="3">
        <v>48</v>
      </c>
      <c r="N122" s="12">
        <v>0.39</v>
      </c>
      <c r="O122" s="3">
        <v>1</v>
      </c>
      <c r="P122" s="3">
        <f t="shared" si="2"/>
        <v>48</v>
      </c>
      <c r="Q122" s="13">
        <f t="shared" si="3"/>
        <v>0.39</v>
      </c>
    </row>
    <row r="123" spans="2:17" x14ac:dyDescent="0.25">
      <c r="B123" s="3" t="s">
        <v>2</v>
      </c>
      <c r="C123" t="s">
        <v>653</v>
      </c>
      <c r="D123" t="s">
        <v>558</v>
      </c>
      <c r="E123" t="s">
        <v>63</v>
      </c>
      <c r="F123" t="s">
        <v>311</v>
      </c>
      <c r="G123">
        <v>3</v>
      </c>
      <c r="H123">
        <v>2</v>
      </c>
      <c r="I123">
        <v>1.1000000000000001</v>
      </c>
      <c r="J123" s="10">
        <v>45470</v>
      </c>
      <c r="K123" t="s">
        <v>559</v>
      </c>
      <c r="L123" s="3" t="s">
        <v>662</v>
      </c>
      <c r="M123" s="3">
        <v>48</v>
      </c>
      <c r="N123" s="12">
        <v>0.39</v>
      </c>
      <c r="O123" s="3">
        <v>1</v>
      </c>
      <c r="P123" s="3">
        <f t="shared" si="2"/>
        <v>48</v>
      </c>
      <c r="Q123" s="13">
        <f t="shared" si="3"/>
        <v>0.39</v>
      </c>
    </row>
    <row r="124" spans="2:17" x14ac:dyDescent="0.25">
      <c r="B124" s="3" t="s">
        <v>2</v>
      </c>
      <c r="C124" t="s">
        <v>653</v>
      </c>
      <c r="D124" t="s">
        <v>560</v>
      </c>
      <c r="E124" t="s">
        <v>67</v>
      </c>
      <c r="F124" t="s">
        <v>311</v>
      </c>
      <c r="G124">
        <v>3</v>
      </c>
      <c r="H124">
        <v>2</v>
      </c>
      <c r="I124">
        <v>1</v>
      </c>
      <c r="J124" s="10">
        <v>45470</v>
      </c>
      <c r="K124" t="s">
        <v>561</v>
      </c>
      <c r="L124" s="3" t="s">
        <v>662</v>
      </c>
      <c r="M124" s="3">
        <v>48</v>
      </c>
      <c r="N124" s="12">
        <v>0.39</v>
      </c>
      <c r="O124" s="3">
        <v>1</v>
      </c>
      <c r="P124" s="3">
        <f t="shared" si="2"/>
        <v>48</v>
      </c>
      <c r="Q124" s="13">
        <f t="shared" si="3"/>
        <v>0.39</v>
      </c>
    </row>
    <row r="125" spans="2:17" x14ac:dyDescent="0.25">
      <c r="B125" s="3" t="s">
        <v>2</v>
      </c>
      <c r="C125" t="s">
        <v>653</v>
      </c>
      <c r="D125" t="s">
        <v>562</v>
      </c>
      <c r="E125" t="s">
        <v>102</v>
      </c>
      <c r="F125" t="s">
        <v>316</v>
      </c>
      <c r="G125">
        <v>4</v>
      </c>
      <c r="H125">
        <v>2</v>
      </c>
      <c r="I125">
        <v>1.3</v>
      </c>
      <c r="J125" s="10">
        <v>45470</v>
      </c>
      <c r="K125" t="s">
        <v>563</v>
      </c>
      <c r="L125" s="3" t="s">
        <v>662</v>
      </c>
      <c r="M125" s="3">
        <v>48</v>
      </c>
      <c r="N125" s="12">
        <v>0.39</v>
      </c>
      <c r="O125" s="3">
        <v>1</v>
      </c>
      <c r="P125" s="3">
        <f t="shared" si="2"/>
        <v>48</v>
      </c>
      <c r="Q125" s="13">
        <f t="shared" si="3"/>
        <v>0.39</v>
      </c>
    </row>
    <row r="126" spans="2:17" x14ac:dyDescent="0.25">
      <c r="B126" s="3" t="s">
        <v>2</v>
      </c>
      <c r="C126" t="s">
        <v>653</v>
      </c>
      <c r="D126" t="s">
        <v>564</v>
      </c>
      <c r="E126" t="s">
        <v>319</v>
      </c>
      <c r="F126" t="s">
        <v>316</v>
      </c>
      <c r="G126">
        <v>4</v>
      </c>
      <c r="H126">
        <v>2</v>
      </c>
      <c r="I126">
        <v>1.4</v>
      </c>
      <c r="J126" s="10">
        <v>45470</v>
      </c>
      <c r="K126" t="s">
        <v>565</v>
      </c>
      <c r="L126" s="3" t="s">
        <v>662</v>
      </c>
      <c r="M126" s="3">
        <v>48</v>
      </c>
      <c r="N126" s="12">
        <v>0.39</v>
      </c>
      <c r="O126" s="3">
        <v>1</v>
      </c>
      <c r="P126" s="3">
        <f t="shared" si="2"/>
        <v>48</v>
      </c>
      <c r="Q126" s="13">
        <f t="shared" si="3"/>
        <v>0.39</v>
      </c>
    </row>
    <row r="127" spans="2:17" x14ac:dyDescent="0.25">
      <c r="B127" s="3" t="s">
        <v>2</v>
      </c>
      <c r="C127" t="s">
        <v>653</v>
      </c>
      <c r="D127" t="s">
        <v>566</v>
      </c>
      <c r="E127" t="s">
        <v>35</v>
      </c>
      <c r="F127" t="s">
        <v>316</v>
      </c>
      <c r="G127">
        <v>4</v>
      </c>
      <c r="H127">
        <v>2</v>
      </c>
      <c r="I127">
        <v>1.3</v>
      </c>
      <c r="J127" s="10">
        <v>45470</v>
      </c>
      <c r="K127" t="s">
        <v>567</v>
      </c>
      <c r="L127" s="3" t="s">
        <v>662</v>
      </c>
      <c r="M127" s="3">
        <v>48</v>
      </c>
      <c r="N127" s="12">
        <v>0.39</v>
      </c>
      <c r="O127" s="3">
        <v>1</v>
      </c>
      <c r="P127" s="3">
        <f t="shared" si="2"/>
        <v>48</v>
      </c>
      <c r="Q127" s="13">
        <f t="shared" si="3"/>
        <v>0.39</v>
      </c>
    </row>
    <row r="128" spans="2:17" x14ac:dyDescent="0.25">
      <c r="B128" s="3" t="s">
        <v>2</v>
      </c>
      <c r="C128" t="s">
        <v>653</v>
      </c>
      <c r="D128" t="s">
        <v>568</v>
      </c>
      <c r="E128" t="s">
        <v>37</v>
      </c>
      <c r="F128" t="s">
        <v>316</v>
      </c>
      <c r="G128">
        <v>4</v>
      </c>
      <c r="H128">
        <v>2</v>
      </c>
      <c r="I128">
        <v>1.2</v>
      </c>
      <c r="J128" s="10">
        <v>45470</v>
      </c>
      <c r="K128" t="s">
        <v>569</v>
      </c>
      <c r="L128" s="3" t="s">
        <v>662</v>
      </c>
      <c r="M128" s="3">
        <v>48</v>
      </c>
      <c r="N128" s="12">
        <v>0.39</v>
      </c>
      <c r="O128" s="3">
        <v>1</v>
      </c>
      <c r="P128" s="3">
        <f t="shared" si="2"/>
        <v>48</v>
      </c>
      <c r="Q128" s="13">
        <f t="shared" si="3"/>
        <v>0.39</v>
      </c>
    </row>
    <row r="129" spans="2:17" x14ac:dyDescent="0.25">
      <c r="B129" s="3" t="s">
        <v>2</v>
      </c>
      <c r="C129" t="s">
        <v>653</v>
      </c>
      <c r="D129" t="s">
        <v>570</v>
      </c>
      <c r="E129" t="s">
        <v>326</v>
      </c>
      <c r="F129" t="s">
        <v>327</v>
      </c>
      <c r="G129">
        <v>5</v>
      </c>
      <c r="H129">
        <v>2</v>
      </c>
      <c r="I129">
        <v>1.6</v>
      </c>
      <c r="J129" s="10">
        <v>45470</v>
      </c>
      <c r="K129" t="s">
        <v>571</v>
      </c>
      <c r="L129" s="3" t="s">
        <v>662</v>
      </c>
      <c r="M129" s="3">
        <v>48</v>
      </c>
      <c r="N129" s="12">
        <v>0.39</v>
      </c>
      <c r="O129" s="3">
        <v>1</v>
      </c>
      <c r="P129" s="3">
        <f t="shared" si="2"/>
        <v>48</v>
      </c>
      <c r="Q129" s="13">
        <f t="shared" si="3"/>
        <v>0.39</v>
      </c>
    </row>
    <row r="130" spans="2:17" x14ac:dyDescent="0.25">
      <c r="B130" s="3" t="s">
        <v>2</v>
      </c>
      <c r="C130" t="s">
        <v>653</v>
      </c>
      <c r="D130" t="s">
        <v>572</v>
      </c>
      <c r="E130" t="s">
        <v>330</v>
      </c>
      <c r="F130" t="s">
        <v>327</v>
      </c>
      <c r="G130">
        <v>5</v>
      </c>
      <c r="H130">
        <v>2</v>
      </c>
      <c r="I130">
        <v>1.8</v>
      </c>
      <c r="J130" s="10">
        <v>45470</v>
      </c>
      <c r="K130" t="s">
        <v>573</v>
      </c>
      <c r="L130" s="3" t="s">
        <v>662</v>
      </c>
      <c r="M130" s="3">
        <v>48</v>
      </c>
      <c r="N130" s="12">
        <v>0.39</v>
      </c>
      <c r="O130" s="3">
        <v>1</v>
      </c>
      <c r="P130" s="3">
        <f t="shared" si="2"/>
        <v>48</v>
      </c>
      <c r="Q130" s="13">
        <f t="shared" si="3"/>
        <v>0.39</v>
      </c>
    </row>
    <row r="131" spans="2:17" x14ac:dyDescent="0.25">
      <c r="B131" s="3" t="s">
        <v>2</v>
      </c>
      <c r="C131" t="s">
        <v>653</v>
      </c>
      <c r="D131" t="s">
        <v>574</v>
      </c>
      <c r="E131" t="s">
        <v>30</v>
      </c>
      <c r="F131" t="s">
        <v>327</v>
      </c>
      <c r="G131">
        <v>5</v>
      </c>
      <c r="H131">
        <v>2</v>
      </c>
      <c r="I131">
        <v>1.7</v>
      </c>
      <c r="J131" s="10">
        <v>45470</v>
      </c>
      <c r="K131" t="s">
        <v>575</v>
      </c>
      <c r="L131" s="3" t="s">
        <v>662</v>
      </c>
      <c r="M131" s="3">
        <v>48</v>
      </c>
      <c r="N131" s="12">
        <v>0.39</v>
      </c>
      <c r="O131" s="3">
        <v>1</v>
      </c>
      <c r="P131" s="3">
        <f t="shared" ref="P131:P164" si="4">M131*O131</f>
        <v>48</v>
      </c>
      <c r="Q131" s="13">
        <f t="shared" ref="Q131:Q164" si="5">N131*O131</f>
        <v>0.39</v>
      </c>
    </row>
    <row r="132" spans="2:17" x14ac:dyDescent="0.25">
      <c r="B132" s="3" t="s">
        <v>2</v>
      </c>
      <c r="C132" t="s">
        <v>653</v>
      </c>
      <c r="D132" t="s">
        <v>576</v>
      </c>
      <c r="E132" t="s">
        <v>32</v>
      </c>
      <c r="F132" t="s">
        <v>327</v>
      </c>
      <c r="G132">
        <v>5</v>
      </c>
      <c r="H132">
        <v>2</v>
      </c>
      <c r="I132">
        <v>1.6</v>
      </c>
      <c r="J132" s="10">
        <v>45470</v>
      </c>
      <c r="K132" t="s">
        <v>577</v>
      </c>
      <c r="L132" s="3" t="s">
        <v>662</v>
      </c>
      <c r="M132" s="3">
        <v>48</v>
      </c>
      <c r="N132" s="12">
        <v>0.39</v>
      </c>
      <c r="O132" s="3">
        <v>1</v>
      </c>
      <c r="P132" s="3">
        <f t="shared" si="4"/>
        <v>48</v>
      </c>
      <c r="Q132" s="13">
        <f t="shared" si="5"/>
        <v>0.39</v>
      </c>
    </row>
    <row r="133" spans="2:17" x14ac:dyDescent="0.25">
      <c r="B133" s="3" t="s">
        <v>2</v>
      </c>
      <c r="C133" t="s">
        <v>653</v>
      </c>
      <c r="D133" t="s">
        <v>578</v>
      </c>
      <c r="E133" t="s">
        <v>27</v>
      </c>
      <c r="F133" t="s">
        <v>335</v>
      </c>
      <c r="G133">
        <v>6</v>
      </c>
      <c r="H133">
        <v>2</v>
      </c>
      <c r="I133">
        <v>2</v>
      </c>
      <c r="J133" s="10">
        <v>45470</v>
      </c>
      <c r="K133" t="s">
        <v>579</v>
      </c>
      <c r="L133" s="3" t="s">
        <v>662</v>
      </c>
      <c r="M133" s="3">
        <v>48</v>
      </c>
      <c r="N133" s="12">
        <v>0.39</v>
      </c>
      <c r="O133" s="3">
        <v>1</v>
      </c>
      <c r="P133" s="3">
        <f t="shared" si="4"/>
        <v>48</v>
      </c>
      <c r="Q133" s="13">
        <f t="shared" si="5"/>
        <v>0.39</v>
      </c>
    </row>
    <row r="134" spans="2:17" x14ac:dyDescent="0.25">
      <c r="B134" s="3" t="s">
        <v>2</v>
      </c>
      <c r="C134" t="s">
        <v>653</v>
      </c>
      <c r="D134" t="s">
        <v>580</v>
      </c>
      <c r="E134" t="s">
        <v>23</v>
      </c>
      <c r="F134" t="s">
        <v>338</v>
      </c>
      <c r="G134">
        <v>8</v>
      </c>
      <c r="H134">
        <v>2</v>
      </c>
      <c r="I134">
        <v>2.6</v>
      </c>
      <c r="J134" s="10">
        <v>45470</v>
      </c>
      <c r="K134" t="s">
        <v>581</v>
      </c>
      <c r="L134" s="3" t="s">
        <v>662</v>
      </c>
      <c r="M134" s="3">
        <v>48</v>
      </c>
      <c r="N134" s="12">
        <v>0.39</v>
      </c>
      <c r="O134" s="3">
        <v>1</v>
      </c>
      <c r="P134" s="3">
        <f t="shared" si="4"/>
        <v>48</v>
      </c>
      <c r="Q134" s="13">
        <f t="shared" si="5"/>
        <v>0.39</v>
      </c>
    </row>
    <row r="135" spans="2:17" x14ac:dyDescent="0.25">
      <c r="B135" s="3" t="s">
        <v>582</v>
      </c>
      <c r="C135" t="s">
        <v>654</v>
      </c>
      <c r="D135" t="s">
        <v>583</v>
      </c>
      <c r="E135" t="s">
        <v>304</v>
      </c>
      <c r="F135" t="s">
        <v>305</v>
      </c>
      <c r="G135">
        <v>16</v>
      </c>
      <c r="H135">
        <v>56</v>
      </c>
      <c r="I135">
        <v>90</v>
      </c>
      <c r="J135" s="10">
        <v>45271</v>
      </c>
      <c r="K135" t="s">
        <v>584</v>
      </c>
      <c r="L135" s="3" t="s">
        <v>662</v>
      </c>
      <c r="M135" s="3">
        <v>48</v>
      </c>
      <c r="N135" s="12">
        <v>0.39</v>
      </c>
      <c r="O135" s="3">
        <v>2</v>
      </c>
      <c r="P135" s="3">
        <f t="shared" si="4"/>
        <v>96</v>
      </c>
      <c r="Q135" s="13">
        <f t="shared" si="5"/>
        <v>0.78</v>
      </c>
    </row>
    <row r="136" spans="2:17" x14ac:dyDescent="0.25">
      <c r="B136" s="3" t="s">
        <v>582</v>
      </c>
      <c r="C136" t="s">
        <v>654</v>
      </c>
      <c r="D136" t="s">
        <v>585</v>
      </c>
      <c r="E136" t="s">
        <v>73</v>
      </c>
      <c r="F136" t="s">
        <v>308</v>
      </c>
      <c r="G136">
        <v>2</v>
      </c>
      <c r="H136">
        <v>56</v>
      </c>
      <c r="I136">
        <v>17</v>
      </c>
      <c r="J136" s="10">
        <v>45271</v>
      </c>
      <c r="K136" t="s">
        <v>586</v>
      </c>
      <c r="L136" s="3" t="s">
        <v>662</v>
      </c>
      <c r="M136" s="3">
        <v>48</v>
      </c>
      <c r="N136" s="12">
        <v>0.39</v>
      </c>
      <c r="O136" s="3">
        <v>1</v>
      </c>
      <c r="P136" s="3">
        <f t="shared" si="4"/>
        <v>48</v>
      </c>
      <c r="Q136" s="13">
        <f t="shared" si="5"/>
        <v>0.39</v>
      </c>
    </row>
    <row r="137" spans="2:17" x14ac:dyDescent="0.25">
      <c r="B137" s="3" t="s">
        <v>582</v>
      </c>
      <c r="C137" t="s">
        <v>654</v>
      </c>
      <c r="D137" t="s">
        <v>587</v>
      </c>
      <c r="E137" t="s">
        <v>61</v>
      </c>
      <c r="F137" t="s">
        <v>311</v>
      </c>
      <c r="G137">
        <v>3</v>
      </c>
      <c r="H137">
        <v>56</v>
      </c>
      <c r="I137">
        <v>23</v>
      </c>
      <c r="J137" s="10">
        <v>45271</v>
      </c>
      <c r="K137" t="s">
        <v>588</v>
      </c>
      <c r="L137" s="3" t="s">
        <v>662</v>
      </c>
      <c r="M137" s="3">
        <v>48</v>
      </c>
      <c r="N137" s="12">
        <v>0.39</v>
      </c>
      <c r="O137" s="3">
        <v>1</v>
      </c>
      <c r="P137" s="3">
        <f t="shared" si="4"/>
        <v>48</v>
      </c>
      <c r="Q137" s="13">
        <f t="shared" si="5"/>
        <v>0.39</v>
      </c>
    </row>
    <row r="138" spans="2:17" x14ac:dyDescent="0.25">
      <c r="B138" s="3" t="s">
        <v>582</v>
      </c>
      <c r="C138" t="s">
        <v>654</v>
      </c>
      <c r="D138" t="s">
        <v>589</v>
      </c>
      <c r="E138" t="s">
        <v>63</v>
      </c>
      <c r="F138" t="s">
        <v>311</v>
      </c>
      <c r="G138">
        <v>3</v>
      </c>
      <c r="H138">
        <v>56</v>
      </c>
      <c r="I138">
        <v>21</v>
      </c>
      <c r="J138" s="10">
        <v>45271</v>
      </c>
      <c r="K138" t="s">
        <v>590</v>
      </c>
      <c r="L138" s="3" t="s">
        <v>662</v>
      </c>
      <c r="M138" s="3">
        <v>48</v>
      </c>
      <c r="N138" s="12">
        <v>0.39</v>
      </c>
      <c r="O138" s="3">
        <v>1</v>
      </c>
      <c r="P138" s="3">
        <f t="shared" si="4"/>
        <v>48</v>
      </c>
      <c r="Q138" s="13">
        <f t="shared" si="5"/>
        <v>0.39</v>
      </c>
    </row>
    <row r="139" spans="2:17" x14ac:dyDescent="0.25">
      <c r="B139" s="3" t="s">
        <v>582</v>
      </c>
      <c r="C139" t="s">
        <v>654</v>
      </c>
      <c r="D139" t="s">
        <v>591</v>
      </c>
      <c r="E139" t="s">
        <v>67</v>
      </c>
      <c r="F139" t="s">
        <v>311</v>
      </c>
      <c r="G139">
        <v>3</v>
      </c>
      <c r="H139">
        <v>56</v>
      </c>
      <c r="I139">
        <v>19</v>
      </c>
      <c r="J139" s="10">
        <v>45271</v>
      </c>
      <c r="K139" t="s">
        <v>592</v>
      </c>
      <c r="L139" s="3" t="s">
        <v>662</v>
      </c>
      <c r="M139" s="3">
        <v>48</v>
      </c>
      <c r="N139" s="12">
        <v>0.39</v>
      </c>
      <c r="O139" s="3">
        <v>1</v>
      </c>
      <c r="P139" s="3">
        <f t="shared" si="4"/>
        <v>48</v>
      </c>
      <c r="Q139" s="13">
        <f t="shared" si="5"/>
        <v>0.39</v>
      </c>
    </row>
    <row r="140" spans="2:17" x14ac:dyDescent="0.25">
      <c r="B140" s="3" t="s">
        <v>582</v>
      </c>
      <c r="C140" t="s">
        <v>654</v>
      </c>
      <c r="D140" t="s">
        <v>593</v>
      </c>
      <c r="E140" t="s">
        <v>102</v>
      </c>
      <c r="F140" t="s">
        <v>316</v>
      </c>
      <c r="G140">
        <v>4</v>
      </c>
      <c r="H140">
        <v>56</v>
      </c>
      <c r="I140">
        <v>26</v>
      </c>
      <c r="J140" s="10">
        <v>45271</v>
      </c>
      <c r="K140" t="s">
        <v>594</v>
      </c>
      <c r="L140" s="3" t="s">
        <v>662</v>
      </c>
      <c r="M140" s="3">
        <v>48</v>
      </c>
      <c r="N140" s="12">
        <v>0.39</v>
      </c>
      <c r="O140" s="3">
        <v>1</v>
      </c>
      <c r="P140" s="3">
        <f t="shared" si="4"/>
        <v>48</v>
      </c>
      <c r="Q140" s="13">
        <f t="shared" si="5"/>
        <v>0.39</v>
      </c>
    </row>
    <row r="141" spans="2:17" x14ac:dyDescent="0.25">
      <c r="B141" s="3" t="s">
        <v>582</v>
      </c>
      <c r="C141" t="s">
        <v>654</v>
      </c>
      <c r="D141" t="s">
        <v>595</v>
      </c>
      <c r="E141" t="s">
        <v>319</v>
      </c>
      <c r="F141" t="s">
        <v>316</v>
      </c>
      <c r="G141">
        <v>4</v>
      </c>
      <c r="H141">
        <v>56</v>
      </c>
      <c r="I141">
        <v>29</v>
      </c>
      <c r="J141" s="10">
        <v>45271</v>
      </c>
      <c r="K141" t="s">
        <v>596</v>
      </c>
      <c r="L141" s="3" t="s">
        <v>662</v>
      </c>
      <c r="M141" s="3">
        <v>48</v>
      </c>
      <c r="N141" s="12">
        <v>0.39</v>
      </c>
      <c r="O141" s="3">
        <v>1</v>
      </c>
      <c r="P141" s="3">
        <f t="shared" si="4"/>
        <v>48</v>
      </c>
      <c r="Q141" s="13">
        <f t="shared" si="5"/>
        <v>0.39</v>
      </c>
    </row>
    <row r="142" spans="2:17" x14ac:dyDescent="0.25">
      <c r="B142" s="3" t="s">
        <v>582</v>
      </c>
      <c r="C142" t="s">
        <v>654</v>
      </c>
      <c r="D142" t="s">
        <v>597</v>
      </c>
      <c r="E142" t="s">
        <v>35</v>
      </c>
      <c r="F142" t="s">
        <v>316</v>
      </c>
      <c r="G142">
        <v>4</v>
      </c>
      <c r="H142">
        <v>56</v>
      </c>
      <c r="I142">
        <v>28</v>
      </c>
      <c r="J142" s="10">
        <v>45271</v>
      </c>
      <c r="K142" t="s">
        <v>598</v>
      </c>
      <c r="L142" s="3" t="s">
        <v>662</v>
      </c>
      <c r="M142" s="3">
        <v>48</v>
      </c>
      <c r="N142" s="12">
        <v>0.39</v>
      </c>
      <c r="O142" s="3">
        <v>1</v>
      </c>
      <c r="P142" s="3">
        <f t="shared" si="4"/>
        <v>48</v>
      </c>
      <c r="Q142" s="13">
        <f t="shared" si="5"/>
        <v>0.39</v>
      </c>
    </row>
    <row r="143" spans="2:17" x14ac:dyDescent="0.25">
      <c r="B143" s="3" t="s">
        <v>582</v>
      </c>
      <c r="C143" t="s">
        <v>654</v>
      </c>
      <c r="D143" t="s">
        <v>599</v>
      </c>
      <c r="E143" t="s">
        <v>37</v>
      </c>
      <c r="F143" t="s">
        <v>316</v>
      </c>
      <c r="G143">
        <v>4</v>
      </c>
      <c r="H143">
        <v>56</v>
      </c>
      <c r="I143">
        <v>26</v>
      </c>
      <c r="J143" s="10">
        <v>45271</v>
      </c>
      <c r="K143" t="s">
        <v>600</v>
      </c>
      <c r="L143" s="3" t="s">
        <v>662</v>
      </c>
      <c r="M143" s="3">
        <v>48</v>
      </c>
      <c r="N143" s="12">
        <v>0.39</v>
      </c>
      <c r="O143" s="3">
        <v>1</v>
      </c>
      <c r="P143" s="3">
        <f t="shared" si="4"/>
        <v>48</v>
      </c>
      <c r="Q143" s="13">
        <f t="shared" si="5"/>
        <v>0.39</v>
      </c>
    </row>
    <row r="144" spans="2:17" x14ac:dyDescent="0.25">
      <c r="B144" s="3" t="s">
        <v>582</v>
      </c>
      <c r="C144" t="s">
        <v>654</v>
      </c>
      <c r="D144" t="s">
        <v>601</v>
      </c>
      <c r="E144" t="s">
        <v>326</v>
      </c>
      <c r="F144" t="s">
        <v>327</v>
      </c>
      <c r="G144">
        <v>5</v>
      </c>
      <c r="H144">
        <v>56</v>
      </c>
      <c r="I144">
        <v>32</v>
      </c>
      <c r="J144" s="10">
        <v>45271</v>
      </c>
      <c r="K144" t="s">
        <v>602</v>
      </c>
      <c r="L144" s="3" t="s">
        <v>662</v>
      </c>
      <c r="M144" s="3">
        <v>48</v>
      </c>
      <c r="N144" s="12">
        <v>0.39</v>
      </c>
      <c r="O144" s="3">
        <v>1</v>
      </c>
      <c r="P144" s="3">
        <f t="shared" si="4"/>
        <v>48</v>
      </c>
      <c r="Q144" s="13">
        <f t="shared" si="5"/>
        <v>0.39</v>
      </c>
    </row>
    <row r="145" spans="2:17" x14ac:dyDescent="0.25">
      <c r="B145" s="3" t="s">
        <v>582</v>
      </c>
      <c r="C145" t="s">
        <v>654</v>
      </c>
      <c r="D145" t="s">
        <v>603</v>
      </c>
      <c r="E145" t="s">
        <v>330</v>
      </c>
      <c r="F145" t="s">
        <v>327</v>
      </c>
      <c r="G145">
        <v>5</v>
      </c>
      <c r="H145">
        <v>56</v>
      </c>
      <c r="I145">
        <v>35</v>
      </c>
      <c r="J145" s="10">
        <v>45271</v>
      </c>
      <c r="K145" t="s">
        <v>604</v>
      </c>
      <c r="L145" s="3" t="s">
        <v>662</v>
      </c>
      <c r="M145" s="3">
        <v>48</v>
      </c>
      <c r="N145" s="12">
        <v>0.39</v>
      </c>
      <c r="O145" s="3">
        <v>1</v>
      </c>
      <c r="P145" s="3">
        <f t="shared" si="4"/>
        <v>48</v>
      </c>
      <c r="Q145" s="13">
        <f t="shared" si="5"/>
        <v>0.39</v>
      </c>
    </row>
    <row r="146" spans="2:17" x14ac:dyDescent="0.25">
      <c r="B146" s="3" t="s">
        <v>582</v>
      </c>
      <c r="C146" t="s">
        <v>654</v>
      </c>
      <c r="D146" t="s">
        <v>605</v>
      </c>
      <c r="E146" t="s">
        <v>30</v>
      </c>
      <c r="F146" t="s">
        <v>327</v>
      </c>
      <c r="G146">
        <v>5</v>
      </c>
      <c r="H146">
        <v>56</v>
      </c>
      <c r="I146">
        <v>33</v>
      </c>
      <c r="J146" s="10">
        <v>45271</v>
      </c>
      <c r="K146" t="s">
        <v>606</v>
      </c>
      <c r="L146" s="3" t="s">
        <v>662</v>
      </c>
      <c r="M146" s="3">
        <v>48</v>
      </c>
      <c r="N146" s="12">
        <v>0.39</v>
      </c>
      <c r="O146" s="3">
        <v>1</v>
      </c>
      <c r="P146" s="3">
        <f t="shared" si="4"/>
        <v>48</v>
      </c>
      <c r="Q146" s="13">
        <f t="shared" si="5"/>
        <v>0.39</v>
      </c>
    </row>
    <row r="147" spans="2:17" x14ac:dyDescent="0.25">
      <c r="B147" s="3" t="s">
        <v>582</v>
      </c>
      <c r="C147" t="s">
        <v>654</v>
      </c>
      <c r="D147" t="s">
        <v>607</v>
      </c>
      <c r="E147" t="s">
        <v>32</v>
      </c>
      <c r="F147" t="s">
        <v>327</v>
      </c>
      <c r="G147">
        <v>5</v>
      </c>
      <c r="H147">
        <v>56</v>
      </c>
      <c r="I147">
        <v>32</v>
      </c>
      <c r="J147" s="10">
        <v>45271</v>
      </c>
      <c r="K147" t="s">
        <v>608</v>
      </c>
      <c r="L147" s="3" t="s">
        <v>662</v>
      </c>
      <c r="M147" s="3">
        <v>48</v>
      </c>
      <c r="N147" s="12">
        <v>0.39</v>
      </c>
      <c r="O147" s="3">
        <v>1</v>
      </c>
      <c r="P147" s="3">
        <f t="shared" si="4"/>
        <v>48</v>
      </c>
      <c r="Q147" s="13">
        <f t="shared" si="5"/>
        <v>0.39</v>
      </c>
    </row>
    <row r="148" spans="2:17" x14ac:dyDescent="0.25">
      <c r="B148" s="3" t="s">
        <v>582</v>
      </c>
      <c r="C148" t="s">
        <v>654</v>
      </c>
      <c r="D148" t="s">
        <v>609</v>
      </c>
      <c r="E148" t="s">
        <v>27</v>
      </c>
      <c r="F148" t="s">
        <v>335</v>
      </c>
      <c r="G148">
        <v>6</v>
      </c>
      <c r="H148">
        <v>56</v>
      </c>
      <c r="I148">
        <v>37</v>
      </c>
      <c r="J148" s="10">
        <v>45271</v>
      </c>
      <c r="K148" t="s">
        <v>610</v>
      </c>
      <c r="L148" s="3" t="s">
        <v>662</v>
      </c>
      <c r="M148" s="3">
        <v>48</v>
      </c>
      <c r="N148" s="12">
        <v>0.39</v>
      </c>
      <c r="O148" s="3">
        <v>1</v>
      </c>
      <c r="P148" s="3">
        <f t="shared" si="4"/>
        <v>48</v>
      </c>
      <c r="Q148" s="13">
        <f t="shared" si="5"/>
        <v>0.39</v>
      </c>
    </row>
    <row r="149" spans="2:17" x14ac:dyDescent="0.25">
      <c r="B149" s="3" t="s">
        <v>582</v>
      </c>
      <c r="C149" t="s">
        <v>654</v>
      </c>
      <c r="D149" t="s">
        <v>611</v>
      </c>
      <c r="E149" t="s">
        <v>23</v>
      </c>
      <c r="F149" t="s">
        <v>338</v>
      </c>
      <c r="G149">
        <v>8</v>
      </c>
      <c r="H149">
        <v>56</v>
      </c>
      <c r="I149">
        <v>48</v>
      </c>
      <c r="J149" s="10">
        <v>45271</v>
      </c>
      <c r="K149" t="s">
        <v>612</v>
      </c>
      <c r="L149" s="3" t="s">
        <v>662</v>
      </c>
      <c r="M149" s="3">
        <v>48</v>
      </c>
      <c r="N149" s="12">
        <v>0.39</v>
      </c>
      <c r="O149" s="3">
        <v>2</v>
      </c>
      <c r="P149" s="3">
        <f t="shared" si="4"/>
        <v>96</v>
      </c>
      <c r="Q149" s="13">
        <f t="shared" si="5"/>
        <v>0.78</v>
      </c>
    </row>
    <row r="150" spans="2:17" x14ac:dyDescent="0.25">
      <c r="B150" s="3" t="s">
        <v>613</v>
      </c>
      <c r="C150" t="s">
        <v>655</v>
      </c>
      <c r="D150" t="s">
        <v>614</v>
      </c>
      <c r="E150" t="s">
        <v>304</v>
      </c>
      <c r="F150" t="s">
        <v>305</v>
      </c>
      <c r="G150">
        <v>16</v>
      </c>
      <c r="H150">
        <v>7</v>
      </c>
      <c r="I150">
        <v>14</v>
      </c>
      <c r="J150" s="10">
        <v>45434</v>
      </c>
      <c r="K150" t="s">
        <v>615</v>
      </c>
      <c r="L150" s="3" t="s">
        <v>662</v>
      </c>
      <c r="M150" s="3">
        <v>48</v>
      </c>
      <c r="N150" s="12">
        <v>0.39</v>
      </c>
      <c r="O150" s="3">
        <v>1</v>
      </c>
      <c r="P150" s="3">
        <f t="shared" si="4"/>
        <v>48</v>
      </c>
      <c r="Q150" s="13">
        <f t="shared" si="5"/>
        <v>0.39</v>
      </c>
    </row>
    <row r="151" spans="2:17" x14ac:dyDescent="0.25">
      <c r="B151" s="3" t="s">
        <v>613</v>
      </c>
      <c r="C151" t="s">
        <v>655</v>
      </c>
      <c r="D151" t="s">
        <v>616</v>
      </c>
      <c r="E151" t="s">
        <v>73</v>
      </c>
      <c r="F151" t="s">
        <v>308</v>
      </c>
      <c r="G151">
        <v>2</v>
      </c>
      <c r="H151">
        <v>7</v>
      </c>
      <c r="I151">
        <v>2.7</v>
      </c>
      <c r="J151" s="10">
        <v>45434</v>
      </c>
      <c r="K151" t="s">
        <v>617</v>
      </c>
      <c r="L151" s="3" t="s">
        <v>662</v>
      </c>
      <c r="M151" s="3">
        <v>48</v>
      </c>
      <c r="N151" s="12">
        <v>0.39</v>
      </c>
      <c r="O151" s="3">
        <v>1</v>
      </c>
      <c r="P151" s="3">
        <f t="shared" si="4"/>
        <v>48</v>
      </c>
      <c r="Q151" s="13">
        <f t="shared" si="5"/>
        <v>0.39</v>
      </c>
    </row>
    <row r="152" spans="2:17" x14ac:dyDescent="0.25">
      <c r="B152" s="3" t="s">
        <v>613</v>
      </c>
      <c r="C152" t="s">
        <v>655</v>
      </c>
      <c r="D152" t="s">
        <v>618</v>
      </c>
      <c r="E152" t="s">
        <v>61</v>
      </c>
      <c r="F152" t="s">
        <v>311</v>
      </c>
      <c r="G152">
        <v>3</v>
      </c>
      <c r="H152">
        <v>7</v>
      </c>
      <c r="I152">
        <v>3.8</v>
      </c>
      <c r="J152" s="10">
        <v>45434</v>
      </c>
      <c r="K152" t="s">
        <v>619</v>
      </c>
      <c r="L152" s="3" t="s">
        <v>662</v>
      </c>
      <c r="M152" s="3">
        <v>48</v>
      </c>
      <c r="N152" s="12">
        <v>0.39</v>
      </c>
      <c r="O152" s="3">
        <v>1</v>
      </c>
      <c r="P152" s="3">
        <f t="shared" si="4"/>
        <v>48</v>
      </c>
      <c r="Q152" s="13">
        <f t="shared" si="5"/>
        <v>0.39</v>
      </c>
    </row>
    <row r="153" spans="2:17" x14ac:dyDescent="0.25">
      <c r="B153" s="3" t="s">
        <v>613</v>
      </c>
      <c r="C153" t="s">
        <v>655</v>
      </c>
      <c r="D153" t="s">
        <v>620</v>
      </c>
      <c r="E153" t="s">
        <v>63</v>
      </c>
      <c r="F153" t="s">
        <v>311</v>
      </c>
      <c r="G153">
        <v>3</v>
      </c>
      <c r="H153">
        <v>7</v>
      </c>
      <c r="I153">
        <v>3.5</v>
      </c>
      <c r="J153" s="10">
        <v>45434</v>
      </c>
      <c r="K153" t="s">
        <v>621</v>
      </c>
      <c r="L153" s="3" t="s">
        <v>662</v>
      </c>
      <c r="M153" s="3">
        <v>48</v>
      </c>
      <c r="N153" s="12">
        <v>0.39</v>
      </c>
      <c r="O153" s="3">
        <v>1</v>
      </c>
      <c r="P153" s="3">
        <f t="shared" si="4"/>
        <v>48</v>
      </c>
      <c r="Q153" s="13">
        <f t="shared" si="5"/>
        <v>0.39</v>
      </c>
    </row>
    <row r="154" spans="2:17" x14ac:dyDescent="0.25">
      <c r="B154" s="3" t="s">
        <v>613</v>
      </c>
      <c r="C154" t="s">
        <v>655</v>
      </c>
      <c r="D154" t="s">
        <v>622</v>
      </c>
      <c r="E154" t="s">
        <v>67</v>
      </c>
      <c r="F154" t="s">
        <v>311</v>
      </c>
      <c r="G154">
        <v>3</v>
      </c>
      <c r="H154">
        <v>7</v>
      </c>
      <c r="I154">
        <v>3.2</v>
      </c>
      <c r="J154" s="10">
        <v>45434</v>
      </c>
      <c r="K154" t="s">
        <v>623</v>
      </c>
      <c r="L154" s="3" t="s">
        <v>662</v>
      </c>
      <c r="M154" s="3">
        <v>48</v>
      </c>
      <c r="N154" s="12">
        <v>0.39</v>
      </c>
      <c r="O154" s="3">
        <v>1</v>
      </c>
      <c r="P154" s="3">
        <f t="shared" si="4"/>
        <v>48</v>
      </c>
      <c r="Q154" s="13">
        <f t="shared" si="5"/>
        <v>0.39</v>
      </c>
    </row>
    <row r="155" spans="2:17" x14ac:dyDescent="0.25">
      <c r="B155" s="3" t="s">
        <v>613</v>
      </c>
      <c r="C155" t="s">
        <v>655</v>
      </c>
      <c r="D155" t="s">
        <v>624</v>
      </c>
      <c r="E155" t="s">
        <v>102</v>
      </c>
      <c r="F155" t="s">
        <v>316</v>
      </c>
      <c r="G155">
        <v>4</v>
      </c>
      <c r="H155">
        <v>7</v>
      </c>
      <c r="I155">
        <v>4.0999999999999996</v>
      </c>
      <c r="J155" s="10">
        <v>45434</v>
      </c>
      <c r="K155" t="s">
        <v>625</v>
      </c>
      <c r="L155" s="3" t="s">
        <v>662</v>
      </c>
      <c r="M155" s="3">
        <v>48</v>
      </c>
      <c r="N155" s="12">
        <v>0.39</v>
      </c>
      <c r="O155" s="3">
        <v>1</v>
      </c>
      <c r="P155" s="3">
        <f t="shared" si="4"/>
        <v>48</v>
      </c>
      <c r="Q155" s="13">
        <f t="shared" si="5"/>
        <v>0.39</v>
      </c>
    </row>
    <row r="156" spans="2:17" x14ac:dyDescent="0.25">
      <c r="B156" s="3" t="s">
        <v>613</v>
      </c>
      <c r="C156" t="s">
        <v>655</v>
      </c>
      <c r="D156" t="s">
        <v>626</v>
      </c>
      <c r="E156" t="s">
        <v>319</v>
      </c>
      <c r="F156" t="s">
        <v>316</v>
      </c>
      <c r="G156">
        <v>4</v>
      </c>
      <c r="H156">
        <v>7</v>
      </c>
      <c r="I156">
        <v>4.5999999999999996</v>
      </c>
      <c r="J156" s="10">
        <v>45434</v>
      </c>
      <c r="K156" t="s">
        <v>627</v>
      </c>
      <c r="L156" s="3" t="s">
        <v>662</v>
      </c>
      <c r="M156" s="3">
        <v>48</v>
      </c>
      <c r="N156" s="12">
        <v>0.39</v>
      </c>
      <c r="O156" s="3">
        <v>1</v>
      </c>
      <c r="P156" s="3">
        <f t="shared" si="4"/>
        <v>48</v>
      </c>
      <c r="Q156" s="13">
        <f t="shared" si="5"/>
        <v>0.39</v>
      </c>
    </row>
    <row r="157" spans="2:17" x14ac:dyDescent="0.25">
      <c r="B157" s="3" t="s">
        <v>613</v>
      </c>
      <c r="C157" t="s">
        <v>655</v>
      </c>
      <c r="D157" t="s">
        <v>628</v>
      </c>
      <c r="E157" t="s">
        <v>35</v>
      </c>
      <c r="F157" t="s">
        <v>316</v>
      </c>
      <c r="G157">
        <v>4</v>
      </c>
      <c r="H157">
        <v>7</v>
      </c>
      <c r="I157">
        <v>4.4000000000000004</v>
      </c>
      <c r="J157" s="10">
        <v>45434</v>
      </c>
      <c r="K157" t="s">
        <v>629</v>
      </c>
      <c r="L157" s="3" t="s">
        <v>662</v>
      </c>
      <c r="M157" s="3">
        <v>48</v>
      </c>
      <c r="N157" s="12">
        <v>0.39</v>
      </c>
      <c r="O157" s="3">
        <v>1</v>
      </c>
      <c r="P157" s="3">
        <f t="shared" si="4"/>
        <v>48</v>
      </c>
      <c r="Q157" s="13">
        <f t="shared" si="5"/>
        <v>0.39</v>
      </c>
    </row>
    <row r="158" spans="2:17" x14ac:dyDescent="0.25">
      <c r="B158" s="3" t="s">
        <v>613</v>
      </c>
      <c r="C158" t="s">
        <v>655</v>
      </c>
      <c r="D158" t="s">
        <v>630</v>
      </c>
      <c r="E158" t="s">
        <v>37</v>
      </c>
      <c r="F158" t="s">
        <v>316</v>
      </c>
      <c r="G158">
        <v>4</v>
      </c>
      <c r="H158">
        <v>7</v>
      </c>
      <c r="I158">
        <v>4.0999999999999996</v>
      </c>
      <c r="J158" s="10">
        <v>45434</v>
      </c>
      <c r="K158" t="s">
        <v>631</v>
      </c>
      <c r="L158" s="3" t="s">
        <v>662</v>
      </c>
      <c r="M158" s="3">
        <v>48</v>
      </c>
      <c r="N158" s="12">
        <v>0.39</v>
      </c>
      <c r="O158" s="3">
        <v>1</v>
      </c>
      <c r="P158" s="3">
        <f t="shared" si="4"/>
        <v>48</v>
      </c>
      <c r="Q158" s="13">
        <f t="shared" si="5"/>
        <v>0.39</v>
      </c>
    </row>
    <row r="159" spans="2:17" x14ac:dyDescent="0.25">
      <c r="B159" s="3" t="s">
        <v>613</v>
      </c>
      <c r="C159" t="s">
        <v>655</v>
      </c>
      <c r="D159" t="s">
        <v>632</v>
      </c>
      <c r="E159" t="s">
        <v>326</v>
      </c>
      <c r="F159" t="s">
        <v>327</v>
      </c>
      <c r="G159">
        <v>5</v>
      </c>
      <c r="H159">
        <v>7</v>
      </c>
      <c r="I159">
        <v>5</v>
      </c>
      <c r="J159" s="10">
        <v>45434</v>
      </c>
      <c r="K159" t="s">
        <v>633</v>
      </c>
      <c r="L159" s="3" t="s">
        <v>662</v>
      </c>
      <c r="M159" s="3">
        <v>48</v>
      </c>
      <c r="N159" s="12">
        <v>0.39</v>
      </c>
      <c r="O159" s="3">
        <v>1</v>
      </c>
      <c r="P159" s="3">
        <f t="shared" si="4"/>
        <v>48</v>
      </c>
      <c r="Q159" s="13">
        <f t="shared" si="5"/>
        <v>0.39</v>
      </c>
    </row>
    <row r="160" spans="2:17" x14ac:dyDescent="0.25">
      <c r="B160" s="3" t="s">
        <v>613</v>
      </c>
      <c r="C160" t="s">
        <v>655</v>
      </c>
      <c r="D160" t="s">
        <v>634</v>
      </c>
      <c r="E160" t="s">
        <v>330</v>
      </c>
      <c r="F160" t="s">
        <v>327</v>
      </c>
      <c r="G160">
        <v>5</v>
      </c>
      <c r="H160">
        <v>7</v>
      </c>
      <c r="I160">
        <v>5.4</v>
      </c>
      <c r="J160" s="10">
        <v>45434</v>
      </c>
      <c r="K160" t="s">
        <v>635</v>
      </c>
      <c r="L160" s="3" t="s">
        <v>662</v>
      </c>
      <c r="M160" s="3">
        <v>48</v>
      </c>
      <c r="N160" s="12">
        <v>0.39</v>
      </c>
      <c r="O160" s="3">
        <v>1</v>
      </c>
      <c r="P160" s="3">
        <f t="shared" si="4"/>
        <v>48</v>
      </c>
      <c r="Q160" s="13">
        <f t="shared" si="5"/>
        <v>0.39</v>
      </c>
    </row>
    <row r="161" spans="2:17" x14ac:dyDescent="0.25">
      <c r="B161" s="3" t="s">
        <v>613</v>
      </c>
      <c r="C161" t="s">
        <v>655</v>
      </c>
      <c r="D161" t="s">
        <v>636</v>
      </c>
      <c r="E161" t="s">
        <v>30</v>
      </c>
      <c r="F161" t="s">
        <v>327</v>
      </c>
      <c r="G161">
        <v>5</v>
      </c>
      <c r="H161">
        <v>7</v>
      </c>
      <c r="I161">
        <v>5.0999999999999996</v>
      </c>
      <c r="J161" s="10">
        <v>45434</v>
      </c>
      <c r="K161" t="s">
        <v>637</v>
      </c>
      <c r="L161" s="3" t="s">
        <v>662</v>
      </c>
      <c r="M161" s="3">
        <v>48</v>
      </c>
      <c r="N161" s="12">
        <v>0.39</v>
      </c>
      <c r="O161" s="3">
        <v>1</v>
      </c>
      <c r="P161" s="3">
        <f t="shared" si="4"/>
        <v>48</v>
      </c>
      <c r="Q161" s="13">
        <f t="shared" si="5"/>
        <v>0.39</v>
      </c>
    </row>
    <row r="162" spans="2:17" x14ac:dyDescent="0.25">
      <c r="B162" s="3" t="s">
        <v>613</v>
      </c>
      <c r="C162" t="s">
        <v>655</v>
      </c>
      <c r="D162" t="s">
        <v>638</v>
      </c>
      <c r="E162" t="s">
        <v>32</v>
      </c>
      <c r="F162" t="s">
        <v>327</v>
      </c>
      <c r="G162">
        <v>5</v>
      </c>
      <c r="H162">
        <v>7</v>
      </c>
      <c r="I162">
        <v>5</v>
      </c>
      <c r="J162" s="10">
        <v>45434</v>
      </c>
      <c r="K162" t="s">
        <v>639</v>
      </c>
      <c r="L162" s="3" t="s">
        <v>662</v>
      </c>
      <c r="M162" s="3">
        <v>48</v>
      </c>
      <c r="N162" s="12">
        <v>0.39</v>
      </c>
      <c r="O162" s="3">
        <v>1</v>
      </c>
      <c r="P162" s="3">
        <f t="shared" si="4"/>
        <v>48</v>
      </c>
      <c r="Q162" s="13">
        <f t="shared" si="5"/>
        <v>0.39</v>
      </c>
    </row>
    <row r="163" spans="2:17" x14ac:dyDescent="0.25">
      <c r="B163" s="3" t="s">
        <v>613</v>
      </c>
      <c r="C163" t="s">
        <v>655</v>
      </c>
      <c r="D163" t="s">
        <v>640</v>
      </c>
      <c r="E163" t="s">
        <v>27</v>
      </c>
      <c r="F163" t="s">
        <v>335</v>
      </c>
      <c r="G163">
        <v>6</v>
      </c>
      <c r="H163">
        <v>7</v>
      </c>
      <c r="I163">
        <v>5.9</v>
      </c>
      <c r="J163" s="10">
        <v>45434</v>
      </c>
      <c r="K163" t="s">
        <v>641</v>
      </c>
      <c r="L163" s="3" t="s">
        <v>662</v>
      </c>
      <c r="M163" s="3">
        <v>48</v>
      </c>
      <c r="N163" s="12">
        <v>0.39</v>
      </c>
      <c r="O163" s="3">
        <v>1</v>
      </c>
      <c r="P163" s="3">
        <f t="shared" si="4"/>
        <v>48</v>
      </c>
      <c r="Q163" s="13">
        <f t="shared" si="5"/>
        <v>0.39</v>
      </c>
    </row>
    <row r="164" spans="2:17" x14ac:dyDescent="0.25">
      <c r="B164" s="3" t="s">
        <v>613</v>
      </c>
      <c r="C164" t="s">
        <v>655</v>
      </c>
      <c r="D164" t="s">
        <v>642</v>
      </c>
      <c r="E164" t="s">
        <v>23</v>
      </c>
      <c r="F164" t="s">
        <v>338</v>
      </c>
      <c r="G164">
        <v>8</v>
      </c>
      <c r="H164">
        <v>7</v>
      </c>
      <c r="I164">
        <v>7.7</v>
      </c>
      <c r="J164" s="10">
        <v>45434</v>
      </c>
      <c r="K164" t="s">
        <v>643</v>
      </c>
      <c r="L164" s="3" t="s">
        <v>662</v>
      </c>
      <c r="M164" s="3">
        <v>48</v>
      </c>
      <c r="N164" s="12">
        <v>0.39</v>
      </c>
      <c r="O164" s="3">
        <v>1</v>
      </c>
      <c r="P164" s="3">
        <f t="shared" si="4"/>
        <v>48</v>
      </c>
      <c r="Q164" s="13">
        <f t="shared" si="5"/>
        <v>0.39</v>
      </c>
    </row>
    <row r="165" spans="2:17" x14ac:dyDescent="0.25">
      <c r="J165" s="1"/>
    </row>
    <row r="166" spans="2:17" x14ac:dyDescent="0.25">
      <c r="J166" s="1"/>
    </row>
    <row r="167" spans="2:17" x14ac:dyDescent="0.25">
      <c r="J167" s="1"/>
    </row>
    <row r="168" spans="2:17" x14ac:dyDescent="0.25">
      <c r="J168" s="1"/>
    </row>
    <row r="169" spans="2:17" x14ac:dyDescent="0.25">
      <c r="J169" s="1"/>
    </row>
    <row r="170" spans="2:17" x14ac:dyDescent="0.25">
      <c r="J170" s="1"/>
    </row>
    <row r="171" spans="2:17" x14ac:dyDescent="0.25">
      <c r="J171" s="1"/>
    </row>
    <row r="172" spans="2:17" x14ac:dyDescent="0.25">
      <c r="J172" s="1"/>
    </row>
    <row r="173" spans="2:17" x14ac:dyDescent="0.25">
      <c r="J173" s="1"/>
    </row>
    <row r="174" spans="2:17" x14ac:dyDescent="0.25">
      <c r="J174" s="1"/>
    </row>
    <row r="175" spans="2:17" x14ac:dyDescent="0.25">
      <c r="J175" s="1"/>
    </row>
    <row r="176" spans="2:17" x14ac:dyDescent="0.25">
      <c r="J176" s="1"/>
    </row>
    <row r="177" spans="10:10" x14ac:dyDescent="0.25">
      <c r="J177" s="1"/>
    </row>
    <row r="178" spans="10:10" x14ac:dyDescent="0.25">
      <c r="J178" s="1"/>
    </row>
    <row r="179" spans="10:10" x14ac:dyDescent="0.25">
      <c r="J179" s="1"/>
    </row>
    <row r="180" spans="10:10" x14ac:dyDescent="0.25">
      <c r="J180" s="1"/>
    </row>
    <row r="181" spans="10:10" x14ac:dyDescent="0.25">
      <c r="J181" s="1"/>
    </row>
    <row r="182" spans="10:10" x14ac:dyDescent="0.25">
      <c r="J182" s="1"/>
    </row>
    <row r="183" spans="10:10" x14ac:dyDescent="0.25">
      <c r="J183" s="1"/>
    </row>
    <row r="184" spans="10:10" x14ac:dyDescent="0.25">
      <c r="J184" s="1"/>
    </row>
    <row r="185" spans="10:10" x14ac:dyDescent="0.25">
      <c r="J185" s="1"/>
    </row>
    <row r="186" spans="10:10" x14ac:dyDescent="0.25">
      <c r="J186" s="1"/>
    </row>
    <row r="187" spans="10:10" x14ac:dyDescent="0.25">
      <c r="J187" s="1"/>
    </row>
    <row r="188" spans="10:10" x14ac:dyDescent="0.25">
      <c r="J188" s="1"/>
    </row>
    <row r="189" spans="10:10" x14ac:dyDescent="0.25">
      <c r="J189" s="1"/>
    </row>
    <row r="190" spans="10:10" x14ac:dyDescent="0.25">
      <c r="J190" s="1"/>
    </row>
    <row r="191" spans="10:10" x14ac:dyDescent="0.25">
      <c r="J191" s="1"/>
    </row>
    <row r="192" spans="10:10" x14ac:dyDescent="0.25">
      <c r="J192" s="1"/>
    </row>
    <row r="193" spans="10:10" x14ac:dyDescent="0.25">
      <c r="J193" s="1"/>
    </row>
    <row r="194" spans="10:10" x14ac:dyDescent="0.25">
      <c r="J194" s="1"/>
    </row>
    <row r="195" spans="10:10" x14ac:dyDescent="0.25">
      <c r="J195" s="1"/>
    </row>
    <row r="196" spans="10:10" x14ac:dyDescent="0.25">
      <c r="J196" s="1"/>
    </row>
    <row r="197" spans="10:10" x14ac:dyDescent="0.25">
      <c r="J197" s="1"/>
    </row>
    <row r="198" spans="10:10" x14ac:dyDescent="0.25">
      <c r="J198" s="1"/>
    </row>
    <row r="199" spans="10:10" x14ac:dyDescent="0.25">
      <c r="J199" s="1"/>
    </row>
    <row r="200" spans="10:10" x14ac:dyDescent="0.25">
      <c r="J200" s="1"/>
    </row>
    <row r="201" spans="10:10" x14ac:dyDescent="0.25">
      <c r="J201" s="1"/>
    </row>
    <row r="202" spans="10:10" x14ac:dyDescent="0.25">
      <c r="J202" s="1"/>
    </row>
    <row r="203" spans="10:10" x14ac:dyDescent="0.25">
      <c r="J203" s="1"/>
    </row>
    <row r="204" spans="10:10" x14ac:dyDescent="0.25">
      <c r="J204" s="1"/>
    </row>
    <row r="205" spans="10:10" x14ac:dyDescent="0.25">
      <c r="J205" s="1"/>
    </row>
    <row r="206" spans="10:10" x14ac:dyDescent="0.25">
      <c r="J206" s="1"/>
    </row>
    <row r="207" spans="10:10" x14ac:dyDescent="0.25">
      <c r="J207" s="1"/>
    </row>
    <row r="208" spans="10:10" x14ac:dyDescent="0.25">
      <c r="J208" s="1"/>
    </row>
    <row r="209" spans="10:10" x14ac:dyDescent="0.25">
      <c r="J209" s="1"/>
    </row>
    <row r="210" spans="10:10" x14ac:dyDescent="0.25">
      <c r="J210" s="1"/>
    </row>
    <row r="211" spans="10:10" x14ac:dyDescent="0.25">
      <c r="J211" s="1"/>
    </row>
    <row r="212" spans="10:10" x14ac:dyDescent="0.25">
      <c r="J212" s="1"/>
    </row>
    <row r="213" spans="10:10" x14ac:dyDescent="0.25">
      <c r="J213" s="1"/>
    </row>
    <row r="214" spans="10:10" x14ac:dyDescent="0.25">
      <c r="J214" s="1"/>
    </row>
    <row r="215" spans="10:10" x14ac:dyDescent="0.25">
      <c r="J215" s="1"/>
    </row>
    <row r="216" spans="10:10" x14ac:dyDescent="0.25">
      <c r="J216" s="1"/>
    </row>
    <row r="217" spans="10:10" x14ac:dyDescent="0.25">
      <c r="J217" s="1"/>
    </row>
    <row r="218" spans="10:10" x14ac:dyDescent="0.25">
      <c r="J218" s="1"/>
    </row>
    <row r="219" spans="10:10" x14ac:dyDescent="0.25">
      <c r="J219" s="1"/>
    </row>
    <row r="220" spans="10:10" x14ac:dyDescent="0.25">
      <c r="J220" s="1"/>
    </row>
    <row r="221" spans="10:10" x14ac:dyDescent="0.25">
      <c r="J221" s="1"/>
    </row>
    <row r="222" spans="10:10" x14ac:dyDescent="0.25">
      <c r="J222" s="1"/>
    </row>
    <row r="223" spans="10:10" x14ac:dyDescent="0.25">
      <c r="J223" s="1"/>
    </row>
    <row r="224" spans="10:10" x14ac:dyDescent="0.25">
      <c r="J224" s="1"/>
    </row>
    <row r="225" spans="10:10" x14ac:dyDescent="0.25">
      <c r="J225" s="1"/>
    </row>
    <row r="226" spans="10:10" x14ac:dyDescent="0.25">
      <c r="J226" s="1"/>
    </row>
    <row r="227" spans="10:10" x14ac:dyDescent="0.25">
      <c r="J227" s="1"/>
    </row>
    <row r="228" spans="10:10" x14ac:dyDescent="0.25">
      <c r="J228" s="1"/>
    </row>
    <row r="229" spans="10:10" x14ac:dyDescent="0.25">
      <c r="J229" s="1"/>
    </row>
    <row r="230" spans="10:10" x14ac:dyDescent="0.25">
      <c r="J230" s="1"/>
    </row>
    <row r="231" spans="10:10" x14ac:dyDescent="0.25">
      <c r="J231" s="1"/>
    </row>
    <row r="232" spans="10:10" x14ac:dyDescent="0.25">
      <c r="J232" s="1"/>
    </row>
    <row r="233" spans="10:10" x14ac:dyDescent="0.25">
      <c r="J233" s="1"/>
    </row>
    <row r="234" spans="10:10" x14ac:dyDescent="0.25">
      <c r="J234" s="1"/>
    </row>
    <row r="235" spans="10:10" x14ac:dyDescent="0.25">
      <c r="J235" s="1"/>
    </row>
    <row r="236" spans="10:10" x14ac:dyDescent="0.25">
      <c r="J236" s="1"/>
    </row>
    <row r="237" spans="10:10" x14ac:dyDescent="0.25">
      <c r="J237" s="1"/>
    </row>
    <row r="238" spans="10:10" x14ac:dyDescent="0.25">
      <c r="J238" s="1"/>
    </row>
    <row r="239" spans="10:10" x14ac:dyDescent="0.25">
      <c r="J239" s="1"/>
    </row>
    <row r="240" spans="10:10" x14ac:dyDescent="0.25">
      <c r="J240" s="1"/>
    </row>
    <row r="241" spans="10:10" x14ac:dyDescent="0.25">
      <c r="J241" s="1"/>
    </row>
    <row r="242" spans="10:10" x14ac:dyDescent="0.25">
      <c r="J242" s="1"/>
    </row>
    <row r="243" spans="10:10" x14ac:dyDescent="0.25">
      <c r="J243" s="1"/>
    </row>
    <row r="244" spans="10:10" x14ac:dyDescent="0.25">
      <c r="J244" s="1"/>
    </row>
    <row r="245" spans="10:10" x14ac:dyDescent="0.25">
      <c r="J245" s="1"/>
    </row>
    <row r="246" spans="10:10" x14ac:dyDescent="0.25">
      <c r="J246" s="1"/>
    </row>
    <row r="247" spans="10:10" x14ac:dyDescent="0.25">
      <c r="J247" s="1"/>
    </row>
    <row r="248" spans="10:10" x14ac:dyDescent="0.25">
      <c r="J248" s="1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34"/>
  <sheetViews>
    <sheetView workbookViewId="0">
      <selection activeCell="J5" sqref="J5"/>
    </sheetView>
  </sheetViews>
  <sheetFormatPr defaultRowHeight="15" x14ac:dyDescent="0.25"/>
  <cols>
    <col min="1" max="1" width="16.7109375" style="2" bestFit="1" customWidth="1"/>
    <col min="2" max="2" width="16.7109375" style="3" customWidth="1"/>
    <col min="3" max="3" width="26.5703125" bestFit="1" customWidth="1"/>
    <col min="4" max="4" width="13.28515625" bestFit="1" customWidth="1"/>
    <col min="5" max="5" width="14" bestFit="1" customWidth="1"/>
    <col min="6" max="6" width="12.140625" bestFit="1" customWidth="1"/>
    <col min="7" max="7" width="24.5703125" bestFit="1" customWidth="1"/>
    <col min="8" max="8" width="32.7109375" customWidth="1"/>
    <col min="9" max="9" width="12.42578125" bestFit="1" customWidth="1"/>
    <col min="10" max="10" width="10.7109375" bestFit="1" customWidth="1"/>
    <col min="11" max="11" width="12.85546875" bestFit="1" customWidth="1"/>
    <col min="12" max="12" width="8.140625" customWidth="1"/>
    <col min="13" max="13" width="15.42578125" bestFit="1" customWidth="1"/>
    <col min="14" max="14" width="19.28515625" bestFit="1" customWidth="1"/>
    <col min="15" max="15" width="24.28515625" bestFit="1" customWidth="1"/>
    <col min="16" max="16" width="67" bestFit="1" customWidth="1"/>
    <col min="17" max="17" width="18.5703125" bestFit="1" customWidth="1"/>
  </cols>
  <sheetData>
    <row r="1" spans="1:18" x14ac:dyDescent="0.25">
      <c r="A1" s="6" t="s">
        <v>18</v>
      </c>
      <c r="B1" s="8" t="s">
        <v>290</v>
      </c>
      <c r="C1" s="4" t="s">
        <v>230</v>
      </c>
      <c r="D1" s="4" t="s">
        <v>229</v>
      </c>
      <c r="E1" s="4" t="s">
        <v>5</v>
      </c>
      <c r="F1" s="4" t="s">
        <v>0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298</v>
      </c>
      <c r="L1" s="4" t="s">
        <v>233</v>
      </c>
      <c r="M1" s="4" t="s">
        <v>232</v>
      </c>
      <c r="N1" s="4" t="s">
        <v>231</v>
      </c>
      <c r="O1" s="5" t="s">
        <v>10</v>
      </c>
      <c r="P1" s="7" t="s">
        <v>291</v>
      </c>
      <c r="Q1" s="7" t="s">
        <v>296</v>
      </c>
    </row>
    <row r="2" spans="1:18" x14ac:dyDescent="0.25">
      <c r="B2" s="3" t="s">
        <v>293</v>
      </c>
      <c r="C2" t="s">
        <v>19</v>
      </c>
      <c r="D2" t="s">
        <v>256</v>
      </c>
      <c r="E2" t="s">
        <v>21</v>
      </c>
      <c r="F2" t="s">
        <v>1</v>
      </c>
      <c r="G2" t="s">
        <v>22</v>
      </c>
      <c r="H2" t="s">
        <v>46</v>
      </c>
      <c r="I2" t="s">
        <v>13</v>
      </c>
      <c r="J2" t="s">
        <v>44</v>
      </c>
      <c r="K2" s="3" t="str">
        <f>LEFT(J2, FIND("-", J2) - 1)</f>
        <v>32</v>
      </c>
      <c r="L2">
        <v>8</v>
      </c>
      <c r="M2" t="s">
        <v>257</v>
      </c>
      <c r="N2" s="1">
        <v>45491</v>
      </c>
      <c r="O2" t="s">
        <v>1</v>
      </c>
      <c r="P2" t="str">
        <f>CONCATENATE("""hf.co/", G2, ":", I2, """", ",", " # ", M2)</f>
        <v>"hf.co/bartowski/Meta-Llama-3.1-8B-Instruct-GGUF:F32", # 32.13 GB</v>
      </c>
      <c r="R2">
        <v>1</v>
      </c>
    </row>
    <row r="3" spans="1:18" x14ac:dyDescent="0.25">
      <c r="B3" s="3" t="s">
        <v>293</v>
      </c>
      <c r="C3" t="s">
        <v>19</v>
      </c>
      <c r="D3" t="s">
        <v>256</v>
      </c>
      <c r="E3" t="s">
        <v>21</v>
      </c>
      <c r="F3" t="s">
        <v>1</v>
      </c>
      <c r="G3" t="s">
        <v>22</v>
      </c>
      <c r="H3" t="s">
        <v>46</v>
      </c>
      <c r="I3" t="s">
        <v>23</v>
      </c>
      <c r="J3" t="s">
        <v>4</v>
      </c>
      <c r="K3" s="3" t="str">
        <f>LEFT(J3, FIND("-", J3) - 1)</f>
        <v>8</v>
      </c>
      <c r="L3">
        <v>8</v>
      </c>
      <c r="M3" t="s">
        <v>24</v>
      </c>
      <c r="N3" s="1">
        <v>45491</v>
      </c>
      <c r="O3" t="s">
        <v>1</v>
      </c>
      <c r="P3" t="str">
        <f t="shared" ref="P3:P66" si="0">CONCATENATE("""hf.co/", G3, ":", I3, """", ",", " # ", M3)</f>
        <v>"hf.co/bartowski/Meta-Llama-3.1-8B-Instruct-GGUF:Q8_0", # 8.54 GB</v>
      </c>
      <c r="R3">
        <v>1</v>
      </c>
    </row>
    <row r="4" spans="1:18" x14ac:dyDescent="0.25">
      <c r="B4" s="3" t="s">
        <v>293</v>
      </c>
      <c r="C4" t="s">
        <v>19</v>
      </c>
      <c r="D4" t="s">
        <v>256</v>
      </c>
      <c r="E4" t="s">
        <v>21</v>
      </c>
      <c r="F4" t="s">
        <v>1</v>
      </c>
      <c r="G4" t="s">
        <v>22</v>
      </c>
      <c r="H4" t="s">
        <v>46</v>
      </c>
      <c r="I4" t="s">
        <v>25</v>
      </c>
      <c r="J4" t="s">
        <v>41</v>
      </c>
      <c r="K4" s="3" t="str">
        <f t="shared" ref="K4:K67" si="1">LEFT(J4, FIND("-", J4) - 1)</f>
        <v>6</v>
      </c>
      <c r="L4">
        <v>8</v>
      </c>
      <c r="M4" t="s">
        <v>26</v>
      </c>
      <c r="N4" s="1">
        <v>45491</v>
      </c>
      <c r="O4" t="s">
        <v>1</v>
      </c>
      <c r="P4" t="str">
        <f t="shared" si="0"/>
        <v>"hf.co/bartowski/Meta-Llama-3.1-8B-Instruct-GGUF:Q6_K_L", # 6.85 GB</v>
      </c>
      <c r="R4">
        <v>1</v>
      </c>
    </row>
    <row r="5" spans="1:18" x14ac:dyDescent="0.25">
      <c r="B5" s="3" t="s">
        <v>293</v>
      </c>
      <c r="C5" t="s">
        <v>19</v>
      </c>
      <c r="D5" t="s">
        <v>256</v>
      </c>
      <c r="E5" t="s">
        <v>21</v>
      </c>
      <c r="F5" t="s">
        <v>1</v>
      </c>
      <c r="G5" t="s">
        <v>22</v>
      </c>
      <c r="H5" t="s">
        <v>46</v>
      </c>
      <c r="I5" t="s">
        <v>27</v>
      </c>
      <c r="J5" t="s">
        <v>41</v>
      </c>
      <c r="K5" s="3" t="str">
        <f t="shared" si="1"/>
        <v>6</v>
      </c>
      <c r="L5">
        <v>8</v>
      </c>
      <c r="M5" t="s">
        <v>258</v>
      </c>
      <c r="N5" s="1">
        <v>45491</v>
      </c>
      <c r="O5" t="s">
        <v>1</v>
      </c>
      <c r="P5" t="str">
        <f t="shared" si="0"/>
        <v>"hf.co/bartowski/Meta-Llama-3.1-8B-Instruct-GGUF:Q6_K", # 6.60 GB</v>
      </c>
      <c r="R5">
        <v>1</v>
      </c>
    </row>
    <row r="6" spans="1:18" x14ac:dyDescent="0.25">
      <c r="B6" s="3" t="s">
        <v>293</v>
      </c>
      <c r="C6" t="s">
        <v>19</v>
      </c>
      <c r="D6" t="s">
        <v>256</v>
      </c>
      <c r="E6" t="s">
        <v>21</v>
      </c>
      <c r="F6" t="s">
        <v>1</v>
      </c>
      <c r="G6" t="s">
        <v>22</v>
      </c>
      <c r="H6" t="s">
        <v>46</v>
      </c>
      <c r="I6" t="s">
        <v>28</v>
      </c>
      <c r="J6" t="s">
        <v>42</v>
      </c>
      <c r="K6" s="3" t="str">
        <f t="shared" si="1"/>
        <v>5</v>
      </c>
      <c r="L6">
        <v>8</v>
      </c>
      <c r="M6" t="s">
        <v>29</v>
      </c>
      <c r="N6" s="1">
        <v>45491</v>
      </c>
      <c r="O6" t="s">
        <v>1</v>
      </c>
      <c r="P6" t="str">
        <f t="shared" si="0"/>
        <v>"hf.co/bartowski/Meta-Llama-3.1-8B-Instruct-GGUF:Q5_K_L", # 6.06 GB</v>
      </c>
      <c r="R6">
        <v>1</v>
      </c>
    </row>
    <row r="7" spans="1:18" x14ac:dyDescent="0.25">
      <c r="B7" s="3" t="s">
        <v>293</v>
      </c>
      <c r="C7" t="s">
        <v>19</v>
      </c>
      <c r="D7" t="s">
        <v>256</v>
      </c>
      <c r="E7" t="s">
        <v>21</v>
      </c>
      <c r="F7" t="s">
        <v>1</v>
      </c>
      <c r="G7" t="s">
        <v>22</v>
      </c>
      <c r="H7" t="s">
        <v>46</v>
      </c>
      <c r="I7" t="s">
        <v>30</v>
      </c>
      <c r="J7" t="s">
        <v>42</v>
      </c>
      <c r="K7" s="3" t="str">
        <f t="shared" si="1"/>
        <v>5</v>
      </c>
      <c r="L7">
        <v>8</v>
      </c>
      <c r="M7" t="s">
        <v>31</v>
      </c>
      <c r="N7" s="1">
        <v>45491</v>
      </c>
      <c r="O7" t="s">
        <v>1</v>
      </c>
      <c r="P7" t="str">
        <f t="shared" si="0"/>
        <v>"hf.co/bartowski/Meta-Llama-3.1-8B-Instruct-GGUF:Q5_K_M", # 5.73 GB</v>
      </c>
      <c r="R7">
        <v>1</v>
      </c>
    </row>
    <row r="8" spans="1:18" x14ac:dyDescent="0.25">
      <c r="B8" s="3" t="s">
        <v>293</v>
      </c>
      <c r="C8" t="s">
        <v>19</v>
      </c>
      <c r="D8" t="s">
        <v>256</v>
      </c>
      <c r="E8" t="s">
        <v>21</v>
      </c>
      <c r="F8" t="s">
        <v>1</v>
      </c>
      <c r="G8" t="s">
        <v>22</v>
      </c>
      <c r="H8" t="s">
        <v>46</v>
      </c>
      <c r="I8" t="s">
        <v>32</v>
      </c>
      <c r="J8" t="s">
        <v>42</v>
      </c>
      <c r="K8" s="3" t="str">
        <f t="shared" si="1"/>
        <v>5</v>
      </c>
      <c r="L8">
        <v>8</v>
      </c>
      <c r="M8" t="s">
        <v>259</v>
      </c>
      <c r="N8" s="1">
        <v>45491</v>
      </c>
      <c r="O8" t="s">
        <v>1</v>
      </c>
      <c r="P8" t="str">
        <f t="shared" si="0"/>
        <v>"hf.co/bartowski/Meta-Llama-3.1-8B-Instruct-GGUF:Q5_K_S", # 5.60 GB</v>
      </c>
      <c r="R8">
        <v>1</v>
      </c>
    </row>
    <row r="9" spans="1:18" x14ac:dyDescent="0.25">
      <c r="B9" s="3" t="s">
        <v>293</v>
      </c>
      <c r="C9" t="s">
        <v>19</v>
      </c>
      <c r="D9" t="s">
        <v>256</v>
      </c>
      <c r="E9" t="s">
        <v>21</v>
      </c>
      <c r="F9" t="s">
        <v>1</v>
      </c>
      <c r="G9" t="s">
        <v>22</v>
      </c>
      <c r="H9" t="s">
        <v>46</v>
      </c>
      <c r="I9" t="s">
        <v>33</v>
      </c>
      <c r="J9" t="s">
        <v>3</v>
      </c>
      <c r="K9" s="3" t="str">
        <f t="shared" si="1"/>
        <v>4</v>
      </c>
      <c r="L9">
        <v>8</v>
      </c>
      <c r="M9" t="s">
        <v>34</v>
      </c>
      <c r="N9" s="1">
        <v>45491</v>
      </c>
      <c r="O9" t="s">
        <v>1</v>
      </c>
      <c r="P9" t="str">
        <f t="shared" si="0"/>
        <v>"hf.co/bartowski/Meta-Llama-3.1-8B-Instruct-GGUF:Q4_K_L", # 5.31 GB</v>
      </c>
      <c r="R9">
        <v>1</v>
      </c>
    </row>
    <row r="10" spans="1:18" x14ac:dyDescent="0.25">
      <c r="B10" s="3" t="s">
        <v>293</v>
      </c>
      <c r="C10" t="s">
        <v>19</v>
      </c>
      <c r="D10" t="s">
        <v>256</v>
      </c>
      <c r="E10" t="s">
        <v>21</v>
      </c>
      <c r="F10" t="s">
        <v>1</v>
      </c>
      <c r="G10" t="s">
        <v>22</v>
      </c>
      <c r="H10" t="s">
        <v>46</v>
      </c>
      <c r="I10" t="s">
        <v>35</v>
      </c>
      <c r="J10" t="s">
        <v>3</v>
      </c>
      <c r="K10" s="3" t="str">
        <f t="shared" si="1"/>
        <v>4</v>
      </c>
      <c r="L10">
        <v>8</v>
      </c>
      <c r="M10" t="s">
        <v>36</v>
      </c>
      <c r="N10" s="1">
        <v>45491</v>
      </c>
      <c r="O10" t="s">
        <v>1</v>
      </c>
      <c r="P10" t="str">
        <f t="shared" si="0"/>
        <v>"hf.co/bartowski/Meta-Llama-3.1-8B-Instruct-GGUF:Q4_K_M", # 4.92 GB</v>
      </c>
      <c r="R10">
        <v>1</v>
      </c>
    </row>
    <row r="11" spans="1:18" x14ac:dyDescent="0.25">
      <c r="B11" s="3" t="s">
        <v>293</v>
      </c>
      <c r="C11" t="s">
        <v>19</v>
      </c>
      <c r="D11" t="s">
        <v>256</v>
      </c>
      <c r="E11" t="s">
        <v>21</v>
      </c>
      <c r="F11" t="s">
        <v>1</v>
      </c>
      <c r="G11" t="s">
        <v>22</v>
      </c>
      <c r="H11" t="s">
        <v>46</v>
      </c>
      <c r="I11" t="s">
        <v>39</v>
      </c>
      <c r="J11" t="s">
        <v>3</v>
      </c>
      <c r="K11" s="3" t="str">
        <f t="shared" si="1"/>
        <v>4</v>
      </c>
      <c r="L11">
        <v>8</v>
      </c>
      <c r="M11" t="s">
        <v>40</v>
      </c>
      <c r="N11" s="1">
        <v>45491</v>
      </c>
      <c r="O11" t="s">
        <v>1</v>
      </c>
      <c r="P11" t="str">
        <f t="shared" si="0"/>
        <v>"hf.co/bartowski/Meta-Llama-3.1-8B-Instruct-GGUF:Q3_K_XL", # 4.78 GB</v>
      </c>
      <c r="R11">
        <v>1</v>
      </c>
    </row>
    <row r="12" spans="1:18" x14ac:dyDescent="0.25">
      <c r="B12" s="3" t="s">
        <v>293</v>
      </c>
      <c r="C12" t="s">
        <v>19</v>
      </c>
      <c r="D12" t="s">
        <v>256</v>
      </c>
      <c r="E12" t="s">
        <v>21</v>
      </c>
      <c r="F12" t="s">
        <v>1</v>
      </c>
      <c r="G12" t="s">
        <v>22</v>
      </c>
      <c r="H12" t="s">
        <v>46</v>
      </c>
      <c r="I12" t="s">
        <v>37</v>
      </c>
      <c r="J12" t="s">
        <v>3</v>
      </c>
      <c r="K12" s="3" t="str">
        <f t="shared" si="1"/>
        <v>4</v>
      </c>
      <c r="L12">
        <v>8</v>
      </c>
      <c r="M12" t="s">
        <v>38</v>
      </c>
      <c r="N12" s="1">
        <v>45491</v>
      </c>
      <c r="O12" t="s">
        <v>1</v>
      </c>
      <c r="P12" t="str">
        <f t="shared" si="0"/>
        <v>"hf.co/bartowski/Meta-Llama-3.1-8B-Instruct-GGUF:Q4_K_S", # 4.69 GB</v>
      </c>
      <c r="R12">
        <v>1</v>
      </c>
    </row>
    <row r="13" spans="1:18" x14ac:dyDescent="0.25">
      <c r="B13" s="3" t="s">
        <v>293</v>
      </c>
      <c r="C13" t="s">
        <v>19</v>
      </c>
      <c r="D13" t="s">
        <v>256</v>
      </c>
      <c r="E13" t="s">
        <v>21</v>
      </c>
      <c r="F13" t="s">
        <v>1</v>
      </c>
      <c r="G13" t="s">
        <v>22</v>
      </c>
      <c r="H13" t="s">
        <v>46</v>
      </c>
      <c r="I13" t="s">
        <v>122</v>
      </c>
      <c r="J13" t="s">
        <v>3</v>
      </c>
      <c r="K13" s="3" t="str">
        <f t="shared" si="1"/>
        <v>4</v>
      </c>
      <c r="L13">
        <v>8</v>
      </c>
      <c r="M13" t="s">
        <v>260</v>
      </c>
      <c r="N13" s="1">
        <v>45491</v>
      </c>
      <c r="O13" t="s">
        <v>1</v>
      </c>
      <c r="P13" t="str">
        <f t="shared" si="0"/>
        <v>"hf.co/bartowski/Meta-Llama-3.1-8B-Instruct-GGUF:IQ4_NL", # 4.68 GB</v>
      </c>
      <c r="R13">
        <v>1</v>
      </c>
    </row>
    <row r="14" spans="1:18" x14ac:dyDescent="0.25">
      <c r="B14" s="3" t="s">
        <v>12</v>
      </c>
      <c r="C14" t="s">
        <v>19</v>
      </c>
      <c r="D14" t="s">
        <v>256</v>
      </c>
      <c r="E14" t="s">
        <v>21</v>
      </c>
      <c r="F14" t="s">
        <v>1</v>
      </c>
      <c r="G14" t="s">
        <v>22</v>
      </c>
      <c r="H14" t="s">
        <v>46</v>
      </c>
      <c r="I14" t="s">
        <v>98</v>
      </c>
      <c r="J14" t="s">
        <v>3</v>
      </c>
      <c r="K14" s="3" t="str">
        <f t="shared" si="1"/>
        <v>4</v>
      </c>
      <c r="L14">
        <v>8</v>
      </c>
      <c r="M14" t="s">
        <v>261</v>
      </c>
      <c r="N14" s="1">
        <v>45491</v>
      </c>
      <c r="O14" t="s">
        <v>1</v>
      </c>
      <c r="P14" t="str">
        <f t="shared" si="0"/>
        <v>"hf.co/bartowski/Meta-Llama-3.1-8B-Instruct-GGUF:Q4_0_8_8", # 4.66 GB</v>
      </c>
      <c r="R14">
        <v>1</v>
      </c>
    </row>
    <row r="15" spans="1:18" x14ac:dyDescent="0.25">
      <c r="B15" s="3" t="s">
        <v>12</v>
      </c>
      <c r="C15" t="s">
        <v>19</v>
      </c>
      <c r="D15" t="s">
        <v>256</v>
      </c>
      <c r="E15" t="s">
        <v>21</v>
      </c>
      <c r="F15" t="s">
        <v>1</v>
      </c>
      <c r="G15" t="s">
        <v>22</v>
      </c>
      <c r="H15" t="s">
        <v>46</v>
      </c>
      <c r="I15" t="s">
        <v>100</v>
      </c>
      <c r="J15" t="s">
        <v>3</v>
      </c>
      <c r="K15" s="3" t="str">
        <f t="shared" si="1"/>
        <v>4</v>
      </c>
      <c r="L15">
        <v>8</v>
      </c>
      <c r="M15" t="s">
        <v>261</v>
      </c>
      <c r="N15" s="1">
        <v>45491</v>
      </c>
      <c r="O15" t="s">
        <v>1</v>
      </c>
      <c r="P15" t="str">
        <f t="shared" si="0"/>
        <v>"hf.co/bartowski/Meta-Llama-3.1-8B-Instruct-GGUF:Q4_0_4_8", # 4.66 GB</v>
      </c>
      <c r="R15">
        <v>1</v>
      </c>
    </row>
    <row r="16" spans="1:18" x14ac:dyDescent="0.25">
      <c r="B16" s="3" t="s">
        <v>12</v>
      </c>
      <c r="C16" t="s">
        <v>19</v>
      </c>
      <c r="D16" t="s">
        <v>256</v>
      </c>
      <c r="E16" t="s">
        <v>21</v>
      </c>
      <c r="F16" t="s">
        <v>1</v>
      </c>
      <c r="G16" t="s">
        <v>22</v>
      </c>
      <c r="H16" t="s">
        <v>46</v>
      </c>
      <c r="I16" t="s">
        <v>101</v>
      </c>
      <c r="J16" t="s">
        <v>3</v>
      </c>
      <c r="K16" s="3" t="str">
        <f t="shared" si="1"/>
        <v>4</v>
      </c>
      <c r="L16">
        <v>8</v>
      </c>
      <c r="M16" t="s">
        <v>261</v>
      </c>
      <c r="N16" s="1">
        <v>45491</v>
      </c>
      <c r="O16" t="s">
        <v>1</v>
      </c>
      <c r="P16" t="str">
        <f t="shared" si="0"/>
        <v>"hf.co/bartowski/Meta-Llama-3.1-8B-Instruct-GGUF:Q4_0_4_4", # 4.66 GB</v>
      </c>
      <c r="R16">
        <v>1</v>
      </c>
    </row>
    <row r="17" spans="1:18" x14ac:dyDescent="0.25">
      <c r="B17" s="3" t="s">
        <v>293</v>
      </c>
      <c r="C17" t="s">
        <v>19</v>
      </c>
      <c r="D17" t="s">
        <v>256</v>
      </c>
      <c r="E17" t="s">
        <v>21</v>
      </c>
      <c r="F17" t="s">
        <v>1</v>
      </c>
      <c r="G17" t="s">
        <v>22</v>
      </c>
      <c r="H17" t="s">
        <v>46</v>
      </c>
      <c r="I17" t="s">
        <v>59</v>
      </c>
      <c r="J17" t="s">
        <v>3</v>
      </c>
      <c r="K17" s="3" t="str">
        <f t="shared" si="1"/>
        <v>4</v>
      </c>
      <c r="L17">
        <v>8</v>
      </c>
      <c r="M17" t="s">
        <v>262</v>
      </c>
      <c r="N17" s="1">
        <v>45491</v>
      </c>
      <c r="O17" t="s">
        <v>1</v>
      </c>
      <c r="P17" t="str">
        <f t="shared" si="0"/>
        <v>"hf.co/bartowski/Meta-Llama-3.1-8B-Instruct-GGUF:IQ4_XS", # 4.45 GB</v>
      </c>
      <c r="R17">
        <v>1</v>
      </c>
    </row>
    <row r="18" spans="1:18" x14ac:dyDescent="0.25">
      <c r="B18" s="3" t="s">
        <v>293</v>
      </c>
      <c r="C18" t="s">
        <v>19</v>
      </c>
      <c r="D18" t="s">
        <v>256</v>
      </c>
      <c r="E18" t="s">
        <v>21</v>
      </c>
      <c r="F18" t="s">
        <v>1</v>
      </c>
      <c r="G18" t="s">
        <v>22</v>
      </c>
      <c r="H18" t="s">
        <v>46</v>
      </c>
      <c r="I18" t="s">
        <v>61</v>
      </c>
      <c r="J18" t="s">
        <v>43</v>
      </c>
      <c r="K18" s="3" t="str">
        <f t="shared" si="1"/>
        <v>3</v>
      </c>
      <c r="L18">
        <v>8</v>
      </c>
      <c r="M18" t="s">
        <v>263</v>
      </c>
      <c r="N18" s="1">
        <v>45491</v>
      </c>
      <c r="O18" t="s">
        <v>1</v>
      </c>
      <c r="P18" t="str">
        <f t="shared" si="0"/>
        <v>"hf.co/bartowski/Meta-Llama-3.1-8B-Instruct-GGUF:Q3_K_L", # 4.32 GB</v>
      </c>
      <c r="R18">
        <v>1</v>
      </c>
    </row>
    <row r="19" spans="1:18" x14ac:dyDescent="0.25">
      <c r="B19" s="3" t="s">
        <v>293</v>
      </c>
      <c r="C19" t="s">
        <v>19</v>
      </c>
      <c r="D19" t="s">
        <v>256</v>
      </c>
      <c r="E19" t="s">
        <v>21</v>
      </c>
      <c r="F19" t="s">
        <v>1</v>
      </c>
      <c r="G19" t="s">
        <v>22</v>
      </c>
      <c r="H19" t="s">
        <v>46</v>
      </c>
      <c r="I19" t="s">
        <v>63</v>
      </c>
      <c r="J19" t="s">
        <v>43</v>
      </c>
      <c r="K19" s="3" t="str">
        <f t="shared" si="1"/>
        <v>3</v>
      </c>
      <c r="L19">
        <v>8</v>
      </c>
      <c r="M19" t="s">
        <v>264</v>
      </c>
      <c r="N19" s="1">
        <v>45491</v>
      </c>
      <c r="O19" t="s">
        <v>1</v>
      </c>
      <c r="P19" t="str">
        <f t="shared" si="0"/>
        <v>"hf.co/bartowski/Meta-Llama-3.1-8B-Instruct-GGUF:Q3_K_M", # 4.02 GB</v>
      </c>
      <c r="R19">
        <v>1</v>
      </c>
    </row>
    <row r="20" spans="1:18" x14ac:dyDescent="0.25">
      <c r="B20" s="3" t="s">
        <v>12</v>
      </c>
      <c r="C20" t="s">
        <v>19</v>
      </c>
      <c r="D20" t="s">
        <v>256</v>
      </c>
      <c r="E20" t="s">
        <v>21</v>
      </c>
      <c r="F20" t="s">
        <v>1</v>
      </c>
      <c r="G20" t="s">
        <v>22</v>
      </c>
      <c r="H20" t="s">
        <v>46</v>
      </c>
      <c r="I20" t="s">
        <v>65</v>
      </c>
      <c r="J20" t="s">
        <v>43</v>
      </c>
      <c r="K20" s="3" t="str">
        <f t="shared" si="1"/>
        <v>3</v>
      </c>
      <c r="L20">
        <v>8</v>
      </c>
      <c r="M20" t="s">
        <v>265</v>
      </c>
      <c r="N20" s="1">
        <v>45491</v>
      </c>
      <c r="O20" t="s">
        <v>1</v>
      </c>
      <c r="P20" t="str">
        <f t="shared" si="0"/>
        <v>"hf.co/bartowski/Meta-Llama-3.1-8B-Instruct-GGUF:IQ3_M", # 3.78 GB</v>
      </c>
      <c r="R20">
        <v>1</v>
      </c>
    </row>
    <row r="21" spans="1:18" x14ac:dyDescent="0.25">
      <c r="B21" s="3" t="s">
        <v>293</v>
      </c>
      <c r="C21" t="s">
        <v>19</v>
      </c>
      <c r="D21" t="s">
        <v>256</v>
      </c>
      <c r="E21" t="s">
        <v>21</v>
      </c>
      <c r="F21" t="s">
        <v>1</v>
      </c>
      <c r="G21" t="s">
        <v>22</v>
      </c>
      <c r="H21" t="s">
        <v>46</v>
      </c>
      <c r="I21" t="s">
        <v>71</v>
      </c>
      <c r="J21" t="s">
        <v>114</v>
      </c>
      <c r="K21" s="3" t="str">
        <f t="shared" si="1"/>
        <v>2</v>
      </c>
      <c r="L21">
        <v>8</v>
      </c>
      <c r="M21" t="s">
        <v>266</v>
      </c>
      <c r="N21" s="1">
        <v>45491</v>
      </c>
      <c r="O21" t="s">
        <v>1</v>
      </c>
      <c r="P21" t="str">
        <f t="shared" si="0"/>
        <v>"hf.co/bartowski/Meta-Llama-3.1-8B-Instruct-GGUF:Q2_K_L", # 3.69 GB</v>
      </c>
      <c r="R21">
        <v>1</v>
      </c>
    </row>
    <row r="22" spans="1:18" x14ac:dyDescent="0.25">
      <c r="B22" s="3" t="s">
        <v>293</v>
      </c>
      <c r="C22" t="s">
        <v>19</v>
      </c>
      <c r="D22" t="s">
        <v>256</v>
      </c>
      <c r="E22" t="s">
        <v>21</v>
      </c>
      <c r="F22" t="s">
        <v>1</v>
      </c>
      <c r="G22" t="s">
        <v>22</v>
      </c>
      <c r="H22" t="s">
        <v>46</v>
      </c>
      <c r="I22" t="s">
        <v>67</v>
      </c>
      <c r="J22" t="s">
        <v>43</v>
      </c>
      <c r="K22" s="3" t="str">
        <f t="shared" si="1"/>
        <v>3</v>
      </c>
      <c r="L22">
        <v>8</v>
      </c>
      <c r="M22" t="s">
        <v>223</v>
      </c>
      <c r="N22" s="1">
        <v>45491</v>
      </c>
      <c r="O22" t="s">
        <v>1</v>
      </c>
      <c r="P22" t="str">
        <f t="shared" si="0"/>
        <v>"hf.co/bartowski/Meta-Llama-3.1-8B-Instruct-GGUF:Q3_K_S", # 3.66 GB</v>
      </c>
      <c r="R22">
        <v>1</v>
      </c>
    </row>
    <row r="23" spans="1:18" x14ac:dyDescent="0.25">
      <c r="B23" s="3" t="s">
        <v>12</v>
      </c>
      <c r="C23" t="s">
        <v>19</v>
      </c>
      <c r="D23" t="s">
        <v>256</v>
      </c>
      <c r="E23" t="s">
        <v>21</v>
      </c>
      <c r="F23" t="s">
        <v>1</v>
      </c>
      <c r="G23" t="s">
        <v>22</v>
      </c>
      <c r="H23" t="s">
        <v>46</v>
      </c>
      <c r="I23" t="s">
        <v>69</v>
      </c>
      <c r="J23" t="s">
        <v>43</v>
      </c>
      <c r="K23" s="3" t="str">
        <f t="shared" si="1"/>
        <v>3</v>
      </c>
      <c r="L23">
        <v>8</v>
      </c>
      <c r="M23" t="s">
        <v>189</v>
      </c>
      <c r="N23" s="1">
        <v>45491</v>
      </c>
      <c r="O23" t="s">
        <v>1</v>
      </c>
      <c r="P23" t="str">
        <f t="shared" si="0"/>
        <v>"hf.co/bartowski/Meta-Llama-3.1-8B-Instruct-GGUF:IQ3_XS", # 3.52 GB</v>
      </c>
      <c r="R23">
        <v>1</v>
      </c>
    </row>
    <row r="24" spans="1:18" x14ac:dyDescent="0.25">
      <c r="B24" s="3" t="s">
        <v>293</v>
      </c>
      <c r="C24" t="s">
        <v>19</v>
      </c>
      <c r="D24" t="s">
        <v>256</v>
      </c>
      <c r="E24" t="s">
        <v>21</v>
      </c>
      <c r="F24" t="s">
        <v>1</v>
      </c>
      <c r="G24" t="s">
        <v>22</v>
      </c>
      <c r="H24" t="s">
        <v>46</v>
      </c>
      <c r="I24" t="s">
        <v>73</v>
      </c>
      <c r="J24" t="s">
        <v>114</v>
      </c>
      <c r="K24" s="3" t="str">
        <f t="shared" si="1"/>
        <v>2</v>
      </c>
      <c r="L24">
        <v>8</v>
      </c>
      <c r="M24" t="s">
        <v>90</v>
      </c>
      <c r="N24" s="1">
        <v>45491</v>
      </c>
      <c r="O24" t="s">
        <v>1</v>
      </c>
      <c r="P24" t="str">
        <f t="shared" si="0"/>
        <v>"hf.co/bartowski/Meta-Llama-3.1-8B-Instruct-GGUF:Q2_K", # 3.18 GB</v>
      </c>
      <c r="R24">
        <v>1</v>
      </c>
    </row>
    <row r="25" spans="1:18" x14ac:dyDescent="0.25">
      <c r="B25" s="3" t="s">
        <v>12</v>
      </c>
      <c r="C25" t="s">
        <v>19</v>
      </c>
      <c r="D25" t="s">
        <v>256</v>
      </c>
      <c r="E25" t="s">
        <v>21</v>
      </c>
      <c r="F25" t="s">
        <v>1</v>
      </c>
      <c r="G25" t="s">
        <v>22</v>
      </c>
      <c r="H25" t="s">
        <v>46</v>
      </c>
      <c r="I25" t="s">
        <v>75</v>
      </c>
      <c r="J25" t="s">
        <v>114</v>
      </c>
      <c r="K25" s="3" t="str">
        <f t="shared" si="1"/>
        <v>2</v>
      </c>
      <c r="L25">
        <v>8</v>
      </c>
      <c r="M25" t="s">
        <v>267</v>
      </c>
      <c r="N25" s="1">
        <v>45491</v>
      </c>
      <c r="O25" t="s">
        <v>1</v>
      </c>
      <c r="P25" t="str">
        <f t="shared" si="0"/>
        <v>"hf.co/bartowski/Meta-Llama-3.1-8B-Instruct-GGUF:IQ2_M", # 2.95 GB</v>
      </c>
      <c r="R25">
        <v>1</v>
      </c>
    </row>
    <row r="26" spans="1:18" x14ac:dyDescent="0.25">
      <c r="A26" s="2" t="s">
        <v>11</v>
      </c>
      <c r="C26" t="s">
        <v>47</v>
      </c>
      <c r="D26" t="s">
        <v>20</v>
      </c>
      <c r="E26" t="s">
        <v>21</v>
      </c>
      <c r="F26" t="s">
        <v>1</v>
      </c>
      <c r="G26" t="s">
        <v>48</v>
      </c>
      <c r="H26" t="s">
        <v>85</v>
      </c>
      <c r="I26" t="s">
        <v>23</v>
      </c>
      <c r="J26" t="s">
        <v>4</v>
      </c>
      <c r="K26" s="3" t="str">
        <f t="shared" si="1"/>
        <v>8</v>
      </c>
      <c r="L26">
        <v>70</v>
      </c>
      <c r="M26" t="s">
        <v>49</v>
      </c>
      <c r="N26" s="1">
        <v>45489</v>
      </c>
      <c r="O26" t="s">
        <v>234</v>
      </c>
      <c r="P26" t="str">
        <f t="shared" si="0"/>
        <v>"hf.co/bartowski/Meta-Llama-3.1-70B-Instruct-GGUF:Q8_0", # 74.98 GB</v>
      </c>
      <c r="Q26">
        <v>2</v>
      </c>
    </row>
    <row r="27" spans="1:18" x14ac:dyDescent="0.25">
      <c r="C27" t="s">
        <v>47</v>
      </c>
      <c r="D27" t="s">
        <v>20</v>
      </c>
      <c r="E27" t="s">
        <v>21</v>
      </c>
      <c r="F27" t="s">
        <v>1</v>
      </c>
      <c r="G27" t="s">
        <v>48</v>
      </c>
      <c r="H27" t="s">
        <v>85</v>
      </c>
      <c r="I27" t="s">
        <v>25</v>
      </c>
      <c r="J27" t="s">
        <v>41</v>
      </c>
      <c r="K27" s="3" t="str">
        <f t="shared" si="1"/>
        <v>6</v>
      </c>
      <c r="L27">
        <v>70</v>
      </c>
      <c r="M27" t="s">
        <v>50</v>
      </c>
      <c r="N27" s="1">
        <v>45489</v>
      </c>
      <c r="O27" t="s">
        <v>234</v>
      </c>
      <c r="P27" t="str">
        <f t="shared" si="0"/>
        <v>"hf.co/bartowski/Meta-Llama-3.1-70B-Instruct-GGUF:Q6_K_L", # 58.40 GB</v>
      </c>
      <c r="Q27">
        <v>2</v>
      </c>
    </row>
    <row r="28" spans="1:18" x14ac:dyDescent="0.25">
      <c r="C28" t="s">
        <v>47</v>
      </c>
      <c r="D28" t="s">
        <v>20</v>
      </c>
      <c r="E28" t="s">
        <v>21</v>
      </c>
      <c r="F28" t="s">
        <v>1</v>
      </c>
      <c r="G28" t="s">
        <v>48</v>
      </c>
      <c r="H28" t="s">
        <v>85</v>
      </c>
      <c r="I28" t="s">
        <v>27</v>
      </c>
      <c r="J28" t="s">
        <v>41</v>
      </c>
      <c r="K28" s="3" t="str">
        <f t="shared" si="1"/>
        <v>6</v>
      </c>
      <c r="L28">
        <v>70</v>
      </c>
      <c r="M28" t="s">
        <v>51</v>
      </c>
      <c r="N28" s="1">
        <v>45489</v>
      </c>
      <c r="O28" t="s">
        <v>234</v>
      </c>
      <c r="P28" t="str">
        <f t="shared" si="0"/>
        <v>"hf.co/bartowski/Meta-Llama-3.1-70B-Instruct-GGUF:Q6_K", # 57.89 GB</v>
      </c>
      <c r="Q28">
        <v>2</v>
      </c>
    </row>
    <row r="29" spans="1:18" x14ac:dyDescent="0.25">
      <c r="C29" t="s">
        <v>47</v>
      </c>
      <c r="D29" t="s">
        <v>20</v>
      </c>
      <c r="E29" t="s">
        <v>21</v>
      </c>
      <c r="F29" t="s">
        <v>1</v>
      </c>
      <c r="G29" t="s">
        <v>48</v>
      </c>
      <c r="H29" t="s">
        <v>85</v>
      </c>
      <c r="I29" t="s">
        <v>28</v>
      </c>
      <c r="J29" t="s">
        <v>42</v>
      </c>
      <c r="K29" s="3" t="str">
        <f t="shared" si="1"/>
        <v>5</v>
      </c>
      <c r="L29">
        <v>70</v>
      </c>
      <c r="M29" t="s">
        <v>52</v>
      </c>
      <c r="N29" s="1">
        <v>45489</v>
      </c>
      <c r="O29" t="s">
        <v>234</v>
      </c>
      <c r="P29" t="str">
        <f t="shared" si="0"/>
        <v>"hf.co/bartowski/Meta-Llama-3.1-70B-Instruct-GGUF:Q5_K_L", # 50.60 GB</v>
      </c>
      <c r="Q29">
        <v>2</v>
      </c>
    </row>
    <row r="30" spans="1:18" x14ac:dyDescent="0.25">
      <c r="C30" t="s">
        <v>47</v>
      </c>
      <c r="D30" t="s">
        <v>20</v>
      </c>
      <c r="E30" t="s">
        <v>21</v>
      </c>
      <c r="F30" t="s">
        <v>1</v>
      </c>
      <c r="G30" t="s">
        <v>48</v>
      </c>
      <c r="H30" t="s">
        <v>85</v>
      </c>
      <c r="I30" t="s">
        <v>30</v>
      </c>
      <c r="J30" t="s">
        <v>42</v>
      </c>
      <c r="K30" s="3" t="str">
        <f t="shared" si="1"/>
        <v>5</v>
      </c>
      <c r="L30">
        <v>70</v>
      </c>
      <c r="M30" t="s">
        <v>53</v>
      </c>
      <c r="N30" s="1">
        <v>45489</v>
      </c>
      <c r="O30" t="s">
        <v>234</v>
      </c>
      <c r="P30" t="str">
        <f t="shared" si="0"/>
        <v>"hf.co/bartowski/Meta-Llama-3.1-70B-Instruct-GGUF:Q5_K_M", # 49.95 GB</v>
      </c>
      <c r="Q30">
        <v>2</v>
      </c>
    </row>
    <row r="31" spans="1:18" x14ac:dyDescent="0.25">
      <c r="C31" t="s">
        <v>47</v>
      </c>
      <c r="D31" t="s">
        <v>20</v>
      </c>
      <c r="E31" t="s">
        <v>21</v>
      </c>
      <c r="F31" t="s">
        <v>1</v>
      </c>
      <c r="G31" t="s">
        <v>48</v>
      </c>
      <c r="H31" t="s">
        <v>85</v>
      </c>
      <c r="I31" t="s">
        <v>32</v>
      </c>
      <c r="J31" t="s">
        <v>42</v>
      </c>
      <c r="K31" s="3" t="str">
        <f t="shared" si="1"/>
        <v>5</v>
      </c>
      <c r="L31">
        <v>70</v>
      </c>
      <c r="M31" t="s">
        <v>54</v>
      </c>
      <c r="N31" s="1">
        <v>45489</v>
      </c>
      <c r="O31" t="s">
        <v>234</v>
      </c>
      <c r="P31" t="str">
        <f t="shared" si="0"/>
        <v>"hf.co/bartowski/Meta-Llama-3.1-70B-Instruct-GGUF:Q5_K_S", # 48.66 GB</v>
      </c>
      <c r="Q31">
        <v>2</v>
      </c>
    </row>
    <row r="32" spans="1:18" x14ac:dyDescent="0.25">
      <c r="A32" s="2" t="s">
        <v>11</v>
      </c>
      <c r="C32" t="s">
        <v>47</v>
      </c>
      <c r="D32" t="s">
        <v>20</v>
      </c>
      <c r="E32" t="s">
        <v>21</v>
      </c>
      <c r="F32" t="s">
        <v>1</v>
      </c>
      <c r="G32" t="s">
        <v>48</v>
      </c>
      <c r="H32" t="s">
        <v>85</v>
      </c>
      <c r="I32" t="s">
        <v>33</v>
      </c>
      <c r="J32" t="s">
        <v>3</v>
      </c>
      <c r="K32" s="3" t="str">
        <f t="shared" si="1"/>
        <v>4</v>
      </c>
      <c r="L32">
        <v>70</v>
      </c>
      <c r="M32" t="s">
        <v>55</v>
      </c>
      <c r="N32" s="1">
        <v>45489</v>
      </c>
      <c r="O32" t="s">
        <v>234</v>
      </c>
      <c r="P32" t="str">
        <f t="shared" si="0"/>
        <v>"hf.co/bartowski/Meta-Llama-3.1-70B-Instruct-GGUF:Q4_K_L", # 43.30 GB</v>
      </c>
      <c r="Q32">
        <v>2</v>
      </c>
    </row>
    <row r="33" spans="1:17" x14ac:dyDescent="0.25">
      <c r="C33" t="s">
        <v>47</v>
      </c>
      <c r="D33" t="s">
        <v>20</v>
      </c>
      <c r="E33" t="s">
        <v>21</v>
      </c>
      <c r="F33" t="s">
        <v>1</v>
      </c>
      <c r="G33" t="s">
        <v>48</v>
      </c>
      <c r="H33" t="s">
        <v>85</v>
      </c>
      <c r="I33" t="s">
        <v>35</v>
      </c>
      <c r="J33" t="s">
        <v>3</v>
      </c>
      <c r="K33" s="3" t="str">
        <f t="shared" si="1"/>
        <v>4</v>
      </c>
      <c r="L33">
        <v>70</v>
      </c>
      <c r="M33" t="s">
        <v>56</v>
      </c>
      <c r="N33" s="1">
        <v>45489</v>
      </c>
      <c r="O33" t="s">
        <v>234</v>
      </c>
      <c r="P33" t="str">
        <f t="shared" si="0"/>
        <v>"hf.co/bartowski/Meta-Llama-3.1-70B-Instruct-GGUF:Q4_K_M", # 42.52 GB</v>
      </c>
      <c r="Q33">
        <v>2</v>
      </c>
    </row>
    <row r="34" spans="1:17" x14ac:dyDescent="0.25">
      <c r="C34" t="s">
        <v>47</v>
      </c>
      <c r="D34" t="s">
        <v>20</v>
      </c>
      <c r="E34" t="s">
        <v>21</v>
      </c>
      <c r="F34" t="s">
        <v>1</v>
      </c>
      <c r="G34" t="s">
        <v>48</v>
      </c>
      <c r="H34" t="s">
        <v>85</v>
      </c>
      <c r="I34" t="s">
        <v>37</v>
      </c>
      <c r="J34" t="s">
        <v>3</v>
      </c>
      <c r="K34" s="3" t="str">
        <f t="shared" si="1"/>
        <v>4</v>
      </c>
      <c r="L34">
        <v>70</v>
      </c>
      <c r="M34" t="s">
        <v>57</v>
      </c>
      <c r="N34" s="1">
        <v>45489</v>
      </c>
      <c r="O34" t="s">
        <v>234</v>
      </c>
      <c r="P34" t="str">
        <f t="shared" si="0"/>
        <v>"hf.co/bartowski/Meta-Llama-3.1-70B-Instruct-GGUF:Q4_K_S", # 40.35 GB</v>
      </c>
      <c r="Q34">
        <v>2</v>
      </c>
    </row>
    <row r="35" spans="1:17" x14ac:dyDescent="0.25">
      <c r="C35" t="s">
        <v>47</v>
      </c>
      <c r="D35" t="s">
        <v>20</v>
      </c>
      <c r="E35" t="s">
        <v>21</v>
      </c>
      <c r="F35" t="s">
        <v>1</v>
      </c>
      <c r="G35" t="s">
        <v>48</v>
      </c>
      <c r="H35" t="s">
        <v>85</v>
      </c>
      <c r="I35" t="s">
        <v>39</v>
      </c>
      <c r="J35" t="s">
        <v>43</v>
      </c>
      <c r="K35" s="3" t="str">
        <f t="shared" si="1"/>
        <v>3</v>
      </c>
      <c r="L35">
        <v>70</v>
      </c>
      <c r="M35" t="s">
        <v>58</v>
      </c>
      <c r="N35" s="1">
        <v>45489</v>
      </c>
      <c r="O35" t="s">
        <v>234</v>
      </c>
      <c r="P35" t="str">
        <f t="shared" si="0"/>
        <v>"hf.co/bartowski/Meta-Llama-3.1-70B-Instruct-GGUF:Q3_K_XL", # 38.06 GB</v>
      </c>
      <c r="Q35">
        <v>1</v>
      </c>
    </row>
    <row r="36" spans="1:17" x14ac:dyDescent="0.25">
      <c r="C36" t="s">
        <v>47</v>
      </c>
      <c r="D36" t="s">
        <v>20</v>
      </c>
      <c r="E36" t="s">
        <v>21</v>
      </c>
      <c r="F36" t="s">
        <v>1</v>
      </c>
      <c r="G36" t="s">
        <v>48</v>
      </c>
      <c r="H36" t="s">
        <v>85</v>
      </c>
      <c r="I36" t="s">
        <v>59</v>
      </c>
      <c r="J36" t="s">
        <v>3</v>
      </c>
      <c r="K36" s="3" t="str">
        <f t="shared" si="1"/>
        <v>4</v>
      </c>
      <c r="L36">
        <v>70</v>
      </c>
      <c r="M36" t="s">
        <v>60</v>
      </c>
      <c r="N36" s="1">
        <v>45489</v>
      </c>
      <c r="O36" t="s">
        <v>234</v>
      </c>
      <c r="P36" t="str">
        <f t="shared" si="0"/>
        <v>"hf.co/bartowski/Meta-Llama-3.1-70B-Instruct-GGUF:IQ4_XS", # 37.90 GB</v>
      </c>
      <c r="Q36">
        <v>1</v>
      </c>
    </row>
    <row r="37" spans="1:17" x14ac:dyDescent="0.25">
      <c r="C37" t="s">
        <v>47</v>
      </c>
      <c r="D37" t="s">
        <v>20</v>
      </c>
      <c r="E37" t="s">
        <v>21</v>
      </c>
      <c r="F37" t="s">
        <v>1</v>
      </c>
      <c r="G37" t="s">
        <v>48</v>
      </c>
      <c r="H37" t="s">
        <v>85</v>
      </c>
      <c r="I37" t="s">
        <v>61</v>
      </c>
      <c r="J37" t="s">
        <v>43</v>
      </c>
      <c r="K37" s="3" t="str">
        <f t="shared" si="1"/>
        <v>3</v>
      </c>
      <c r="L37">
        <v>70</v>
      </c>
      <c r="M37" t="s">
        <v>62</v>
      </c>
      <c r="N37" s="1">
        <v>45489</v>
      </c>
      <c r="O37" t="s">
        <v>234</v>
      </c>
      <c r="P37" t="str">
        <f t="shared" si="0"/>
        <v>"hf.co/bartowski/Meta-Llama-3.1-70B-Instruct-GGUF:Q3_K_L", # 37.14 GB</v>
      </c>
      <c r="Q37">
        <v>1</v>
      </c>
    </row>
    <row r="38" spans="1:17" x14ac:dyDescent="0.25">
      <c r="C38" t="s">
        <v>47</v>
      </c>
      <c r="D38" t="s">
        <v>20</v>
      </c>
      <c r="E38" t="s">
        <v>21</v>
      </c>
      <c r="F38" t="s">
        <v>1</v>
      </c>
      <c r="G38" t="s">
        <v>48</v>
      </c>
      <c r="H38" t="s">
        <v>85</v>
      </c>
      <c r="I38" t="s">
        <v>63</v>
      </c>
      <c r="J38" t="s">
        <v>43</v>
      </c>
      <c r="K38" s="3" t="str">
        <f t="shared" si="1"/>
        <v>3</v>
      </c>
      <c r="L38">
        <v>70</v>
      </c>
      <c r="M38" t="s">
        <v>64</v>
      </c>
      <c r="N38" s="1">
        <v>45489</v>
      </c>
      <c r="O38" t="s">
        <v>234</v>
      </c>
      <c r="P38" t="str">
        <f t="shared" si="0"/>
        <v>"hf.co/bartowski/Meta-Llama-3.1-70B-Instruct-GGUF:Q3_K_M", # 34.27 GB</v>
      </c>
      <c r="Q38">
        <v>1</v>
      </c>
    </row>
    <row r="39" spans="1:17" x14ac:dyDescent="0.25">
      <c r="C39" t="s">
        <v>47</v>
      </c>
      <c r="D39" t="s">
        <v>20</v>
      </c>
      <c r="E39" t="s">
        <v>21</v>
      </c>
      <c r="F39" t="s">
        <v>1</v>
      </c>
      <c r="G39" t="s">
        <v>48</v>
      </c>
      <c r="H39" t="s">
        <v>85</v>
      </c>
      <c r="I39" t="s">
        <v>65</v>
      </c>
      <c r="J39" t="s">
        <v>43</v>
      </c>
      <c r="K39" s="3" t="str">
        <f t="shared" si="1"/>
        <v>3</v>
      </c>
      <c r="L39">
        <v>70</v>
      </c>
      <c r="M39" t="s">
        <v>66</v>
      </c>
      <c r="N39" s="1">
        <v>45489</v>
      </c>
      <c r="O39" t="s">
        <v>234</v>
      </c>
      <c r="P39" t="str">
        <f t="shared" si="0"/>
        <v>"hf.co/bartowski/Meta-Llama-3.1-70B-Instruct-GGUF:IQ3_M", # 31.94 GB</v>
      </c>
      <c r="Q39">
        <v>1</v>
      </c>
    </row>
    <row r="40" spans="1:17" x14ac:dyDescent="0.25">
      <c r="C40" t="s">
        <v>47</v>
      </c>
      <c r="D40" t="s">
        <v>20</v>
      </c>
      <c r="E40" t="s">
        <v>21</v>
      </c>
      <c r="F40" t="s">
        <v>1</v>
      </c>
      <c r="G40" t="s">
        <v>48</v>
      </c>
      <c r="H40" t="s">
        <v>85</v>
      </c>
      <c r="I40" t="s">
        <v>67</v>
      </c>
      <c r="J40" t="s">
        <v>43</v>
      </c>
      <c r="K40" s="3" t="str">
        <f t="shared" si="1"/>
        <v>3</v>
      </c>
      <c r="L40">
        <v>70</v>
      </c>
      <c r="M40" t="s">
        <v>68</v>
      </c>
      <c r="N40" s="1">
        <v>45489</v>
      </c>
      <c r="O40" t="s">
        <v>234</v>
      </c>
      <c r="P40" t="str">
        <f t="shared" si="0"/>
        <v>"hf.co/bartowski/Meta-Llama-3.1-70B-Instruct-GGUF:Q3_K_S", # 30.91 GB</v>
      </c>
      <c r="Q40">
        <v>1</v>
      </c>
    </row>
    <row r="41" spans="1:17" x14ac:dyDescent="0.25">
      <c r="C41" t="s">
        <v>47</v>
      </c>
      <c r="D41" t="s">
        <v>20</v>
      </c>
      <c r="E41" t="s">
        <v>21</v>
      </c>
      <c r="F41" t="s">
        <v>1</v>
      </c>
      <c r="G41" t="s">
        <v>48</v>
      </c>
      <c r="H41" t="s">
        <v>85</v>
      </c>
      <c r="I41" t="s">
        <v>69</v>
      </c>
      <c r="J41" t="s">
        <v>43</v>
      </c>
      <c r="K41" s="3" t="str">
        <f t="shared" si="1"/>
        <v>3</v>
      </c>
      <c r="L41">
        <v>70</v>
      </c>
      <c r="M41" t="s">
        <v>70</v>
      </c>
      <c r="N41" s="1">
        <v>45489</v>
      </c>
      <c r="O41" t="s">
        <v>234</v>
      </c>
      <c r="P41" t="str">
        <f t="shared" si="0"/>
        <v>"hf.co/bartowski/Meta-Llama-3.1-70B-Instruct-GGUF:IQ3_XS", # 29.31 GB</v>
      </c>
      <c r="Q41">
        <v>1</v>
      </c>
    </row>
    <row r="42" spans="1:17" x14ac:dyDescent="0.25">
      <c r="A42" s="2" t="s">
        <v>11</v>
      </c>
      <c r="C42" t="s">
        <v>47</v>
      </c>
      <c r="D42" t="s">
        <v>20</v>
      </c>
      <c r="E42" t="s">
        <v>21</v>
      </c>
      <c r="F42" t="s">
        <v>1</v>
      </c>
      <c r="G42" t="s">
        <v>48</v>
      </c>
      <c r="H42" t="s">
        <v>85</v>
      </c>
      <c r="I42" t="s">
        <v>71</v>
      </c>
      <c r="J42" t="s">
        <v>114</v>
      </c>
      <c r="K42" s="3" t="str">
        <f t="shared" si="1"/>
        <v>2</v>
      </c>
      <c r="L42">
        <v>70</v>
      </c>
      <c r="M42" t="s">
        <v>72</v>
      </c>
      <c r="N42" s="1">
        <v>45489</v>
      </c>
      <c r="O42" t="s">
        <v>234</v>
      </c>
      <c r="P42" t="str">
        <f t="shared" si="0"/>
        <v>"hf.co/bartowski/Meta-Llama-3.1-70B-Instruct-GGUF:Q2_K_L", # 27.40 GB</v>
      </c>
      <c r="Q42">
        <v>1</v>
      </c>
    </row>
    <row r="43" spans="1:17" x14ac:dyDescent="0.25">
      <c r="C43" t="s">
        <v>47</v>
      </c>
      <c r="D43" t="s">
        <v>20</v>
      </c>
      <c r="E43" t="s">
        <v>21</v>
      </c>
      <c r="F43" t="s">
        <v>1</v>
      </c>
      <c r="G43" t="s">
        <v>48</v>
      </c>
      <c r="H43" t="s">
        <v>85</v>
      </c>
      <c r="I43" t="s">
        <v>73</v>
      </c>
      <c r="J43" t="s">
        <v>114</v>
      </c>
      <c r="K43" s="3" t="str">
        <f t="shared" si="1"/>
        <v>2</v>
      </c>
      <c r="L43">
        <v>70</v>
      </c>
      <c r="M43" t="s">
        <v>74</v>
      </c>
      <c r="N43" s="1">
        <v>45489</v>
      </c>
      <c r="O43" t="s">
        <v>234</v>
      </c>
      <c r="P43" t="str">
        <f t="shared" si="0"/>
        <v>"hf.co/bartowski/Meta-Llama-3.1-70B-Instruct-GGUF:Q2_K", # 26.38 GB</v>
      </c>
      <c r="Q43">
        <v>1</v>
      </c>
    </row>
    <row r="44" spans="1:17" x14ac:dyDescent="0.25">
      <c r="C44" t="s">
        <v>47</v>
      </c>
      <c r="D44" t="s">
        <v>20</v>
      </c>
      <c r="E44" t="s">
        <v>21</v>
      </c>
      <c r="F44" t="s">
        <v>1</v>
      </c>
      <c r="G44" t="s">
        <v>48</v>
      </c>
      <c r="H44" t="s">
        <v>85</v>
      </c>
      <c r="I44" t="s">
        <v>75</v>
      </c>
      <c r="J44" t="s">
        <v>114</v>
      </c>
      <c r="K44" s="3" t="str">
        <f t="shared" si="1"/>
        <v>2</v>
      </c>
      <c r="L44">
        <v>70</v>
      </c>
      <c r="M44" t="s">
        <v>76</v>
      </c>
      <c r="N44" s="1">
        <v>45489</v>
      </c>
      <c r="O44" t="s">
        <v>234</v>
      </c>
      <c r="P44" t="str">
        <f t="shared" si="0"/>
        <v>"hf.co/bartowski/Meta-Llama-3.1-70B-Instruct-GGUF:IQ2_M", # 24.12 GB</v>
      </c>
      <c r="Q44">
        <v>1</v>
      </c>
    </row>
    <row r="45" spans="1:17" x14ac:dyDescent="0.25">
      <c r="C45" t="s">
        <v>47</v>
      </c>
      <c r="D45" t="s">
        <v>20</v>
      </c>
      <c r="E45" t="s">
        <v>21</v>
      </c>
      <c r="F45" t="s">
        <v>1</v>
      </c>
      <c r="G45" t="s">
        <v>48</v>
      </c>
      <c r="H45" t="s">
        <v>85</v>
      </c>
      <c r="I45" t="s">
        <v>77</v>
      </c>
      <c r="J45" t="s">
        <v>114</v>
      </c>
      <c r="K45" s="3" t="str">
        <f t="shared" si="1"/>
        <v>2</v>
      </c>
      <c r="L45">
        <v>70</v>
      </c>
      <c r="M45" t="s">
        <v>78</v>
      </c>
      <c r="N45" s="1">
        <v>45489</v>
      </c>
      <c r="O45" t="s">
        <v>234</v>
      </c>
      <c r="P45" t="str">
        <f t="shared" si="0"/>
        <v>"hf.co/bartowski/Meta-Llama-3.1-70B-Instruct-GGUF:IQ2_S", # 22.24 GB</v>
      </c>
      <c r="Q45">
        <v>1</v>
      </c>
    </row>
    <row r="46" spans="1:17" x14ac:dyDescent="0.25">
      <c r="C46" t="s">
        <v>47</v>
      </c>
      <c r="D46" t="s">
        <v>20</v>
      </c>
      <c r="E46" t="s">
        <v>21</v>
      </c>
      <c r="F46" t="s">
        <v>1</v>
      </c>
      <c r="G46" t="s">
        <v>48</v>
      </c>
      <c r="H46" t="s">
        <v>85</v>
      </c>
      <c r="I46" t="s">
        <v>79</v>
      </c>
      <c r="J46" t="s">
        <v>114</v>
      </c>
      <c r="K46" s="3" t="str">
        <f t="shared" si="1"/>
        <v>2</v>
      </c>
      <c r="L46">
        <v>70</v>
      </c>
      <c r="M46" t="s">
        <v>80</v>
      </c>
      <c r="N46" s="1">
        <v>45489</v>
      </c>
      <c r="O46" t="s">
        <v>234</v>
      </c>
      <c r="P46" t="str">
        <f t="shared" si="0"/>
        <v>"hf.co/bartowski/Meta-Llama-3.1-70B-Instruct-GGUF:IQ2_XS", # 21.14 GB</v>
      </c>
      <c r="Q46">
        <v>1</v>
      </c>
    </row>
    <row r="47" spans="1:17" x14ac:dyDescent="0.25">
      <c r="C47" t="s">
        <v>47</v>
      </c>
      <c r="D47" t="s">
        <v>20</v>
      </c>
      <c r="E47" t="s">
        <v>21</v>
      </c>
      <c r="F47" t="s">
        <v>1</v>
      </c>
      <c r="G47" t="s">
        <v>48</v>
      </c>
      <c r="H47" t="s">
        <v>85</v>
      </c>
      <c r="I47" t="s">
        <v>81</v>
      </c>
      <c r="J47" t="s">
        <v>114</v>
      </c>
      <c r="K47" s="3" t="str">
        <f t="shared" si="1"/>
        <v>2</v>
      </c>
      <c r="L47">
        <v>70</v>
      </c>
      <c r="M47" t="s">
        <v>82</v>
      </c>
      <c r="N47" s="1">
        <v>45489</v>
      </c>
      <c r="O47" t="s">
        <v>234</v>
      </c>
      <c r="P47" t="str">
        <f t="shared" si="0"/>
        <v>"hf.co/bartowski/Meta-Llama-3.1-70B-Instruct-GGUF:IQ2_XXS", # 19.10 GB</v>
      </c>
      <c r="Q47">
        <v>1</v>
      </c>
    </row>
    <row r="48" spans="1:17" x14ac:dyDescent="0.25">
      <c r="C48" t="s">
        <v>47</v>
      </c>
      <c r="D48" t="s">
        <v>20</v>
      </c>
      <c r="E48" t="s">
        <v>21</v>
      </c>
      <c r="F48" t="s">
        <v>1</v>
      </c>
      <c r="G48" t="s">
        <v>48</v>
      </c>
      <c r="H48" t="s">
        <v>85</v>
      </c>
      <c r="I48" t="s">
        <v>83</v>
      </c>
      <c r="J48" t="s">
        <v>115</v>
      </c>
      <c r="K48" s="3" t="str">
        <f t="shared" si="1"/>
        <v>1</v>
      </c>
      <c r="L48">
        <v>70</v>
      </c>
      <c r="M48" t="s">
        <v>84</v>
      </c>
      <c r="N48" s="1">
        <v>45489</v>
      </c>
      <c r="O48" t="s">
        <v>234</v>
      </c>
      <c r="P48" t="str">
        <f t="shared" si="0"/>
        <v>"hf.co/bartowski/Meta-Llama-3.1-70B-Instruct-GGUF:IQ1_M", # 16.75 GB</v>
      </c>
      <c r="Q48">
        <v>1</v>
      </c>
    </row>
    <row r="49" spans="1:18" x14ac:dyDescent="0.25">
      <c r="A49" s="2" t="s">
        <v>11</v>
      </c>
      <c r="B49" s="3" t="s">
        <v>294</v>
      </c>
      <c r="C49" t="s">
        <v>14</v>
      </c>
      <c r="D49" t="s">
        <v>86</v>
      </c>
      <c r="E49" t="s">
        <v>21</v>
      </c>
      <c r="F49" t="s">
        <v>1</v>
      </c>
      <c r="G49" t="s">
        <v>87</v>
      </c>
      <c r="H49" t="s">
        <v>113</v>
      </c>
      <c r="I49" t="s">
        <v>13</v>
      </c>
      <c r="J49" t="s">
        <v>44</v>
      </c>
      <c r="K49" s="3" t="str">
        <f t="shared" si="1"/>
        <v>32</v>
      </c>
      <c r="L49">
        <v>3.5</v>
      </c>
      <c r="M49" t="s">
        <v>88</v>
      </c>
      <c r="N49" s="1">
        <v>45520</v>
      </c>
      <c r="O49" t="s">
        <v>234</v>
      </c>
      <c r="P49" t="str">
        <f t="shared" si="0"/>
        <v>"hf.co/bartowski/Phi-3.5-mini-instruct-GGUF:F32", # 15.29 GB</v>
      </c>
      <c r="R49">
        <v>1</v>
      </c>
    </row>
    <row r="50" spans="1:18" x14ac:dyDescent="0.25">
      <c r="A50" s="2" t="s">
        <v>11</v>
      </c>
      <c r="B50" s="3" t="s">
        <v>294</v>
      </c>
      <c r="C50" t="s">
        <v>14</v>
      </c>
      <c r="D50" t="s">
        <v>86</v>
      </c>
      <c r="E50" t="s">
        <v>21</v>
      </c>
      <c r="F50" t="s">
        <v>1</v>
      </c>
      <c r="G50" t="s">
        <v>87</v>
      </c>
      <c r="H50" t="s">
        <v>113</v>
      </c>
      <c r="I50" t="s">
        <v>23</v>
      </c>
      <c r="J50" t="s">
        <v>4</v>
      </c>
      <c r="K50" s="3" t="str">
        <f t="shared" si="1"/>
        <v>8</v>
      </c>
      <c r="L50">
        <v>3.5</v>
      </c>
      <c r="M50" t="s">
        <v>89</v>
      </c>
      <c r="N50" s="1">
        <v>45520</v>
      </c>
      <c r="O50" t="s">
        <v>234</v>
      </c>
      <c r="P50" t="str">
        <f t="shared" si="0"/>
        <v>"hf.co/bartowski/Phi-3.5-mini-instruct-GGUF:Q8_0", # 4.06 GB</v>
      </c>
      <c r="R50">
        <v>1</v>
      </c>
    </row>
    <row r="51" spans="1:18" x14ac:dyDescent="0.25">
      <c r="B51" s="3" t="s">
        <v>294</v>
      </c>
      <c r="C51" t="s">
        <v>14</v>
      </c>
      <c r="D51" t="s">
        <v>86</v>
      </c>
      <c r="E51" t="s">
        <v>21</v>
      </c>
      <c r="F51" t="s">
        <v>1</v>
      </c>
      <c r="G51" t="s">
        <v>87</v>
      </c>
      <c r="H51" t="s">
        <v>113</v>
      </c>
      <c r="I51" t="s">
        <v>25</v>
      </c>
      <c r="J51" t="s">
        <v>41</v>
      </c>
      <c r="K51" s="3" t="str">
        <f t="shared" si="1"/>
        <v>6</v>
      </c>
      <c r="L51">
        <v>3.5</v>
      </c>
      <c r="M51" t="s">
        <v>90</v>
      </c>
      <c r="N51" s="1">
        <v>45520</v>
      </c>
      <c r="O51" t="s">
        <v>234</v>
      </c>
      <c r="P51" t="str">
        <f t="shared" si="0"/>
        <v>"hf.co/bartowski/Phi-3.5-mini-instruct-GGUF:Q6_K_L", # 3.18 GB</v>
      </c>
      <c r="R51">
        <v>1</v>
      </c>
    </row>
    <row r="52" spans="1:18" x14ac:dyDescent="0.25">
      <c r="B52" s="3" t="s">
        <v>294</v>
      </c>
      <c r="C52" t="s">
        <v>14</v>
      </c>
      <c r="D52" t="s">
        <v>86</v>
      </c>
      <c r="E52" t="s">
        <v>21</v>
      </c>
      <c r="F52" t="s">
        <v>1</v>
      </c>
      <c r="G52" t="s">
        <v>87</v>
      </c>
      <c r="H52" t="s">
        <v>113</v>
      </c>
      <c r="I52" t="s">
        <v>27</v>
      </c>
      <c r="J52" t="s">
        <v>41</v>
      </c>
      <c r="K52" s="3" t="str">
        <f t="shared" si="1"/>
        <v>6</v>
      </c>
      <c r="L52">
        <v>3.5</v>
      </c>
      <c r="M52" t="s">
        <v>91</v>
      </c>
      <c r="N52" s="1">
        <v>45520</v>
      </c>
      <c r="O52" t="s">
        <v>234</v>
      </c>
      <c r="P52" t="str">
        <f t="shared" si="0"/>
        <v>"hf.co/bartowski/Phi-3.5-mini-instruct-GGUF:Q6_K", # 3.14 GB</v>
      </c>
      <c r="R52">
        <v>1</v>
      </c>
    </row>
    <row r="53" spans="1:18" x14ac:dyDescent="0.25">
      <c r="B53" s="3" t="s">
        <v>294</v>
      </c>
      <c r="C53" t="s">
        <v>14</v>
      </c>
      <c r="D53" t="s">
        <v>86</v>
      </c>
      <c r="E53" t="s">
        <v>21</v>
      </c>
      <c r="F53" t="s">
        <v>1</v>
      </c>
      <c r="G53" t="s">
        <v>87</v>
      </c>
      <c r="H53" t="s">
        <v>113</v>
      </c>
      <c r="I53" t="s">
        <v>28</v>
      </c>
      <c r="J53" t="s">
        <v>42</v>
      </c>
      <c r="K53" s="3" t="str">
        <f t="shared" si="1"/>
        <v>5</v>
      </c>
      <c r="L53">
        <v>3.5</v>
      </c>
      <c r="M53" t="s">
        <v>92</v>
      </c>
      <c r="N53" s="1">
        <v>45520</v>
      </c>
      <c r="O53" t="s">
        <v>234</v>
      </c>
      <c r="P53" t="str">
        <f t="shared" si="0"/>
        <v>"hf.co/bartowski/Phi-3.5-mini-instruct-GGUF:Q5_K_L", # 2.88 GB</v>
      </c>
      <c r="R53">
        <v>1</v>
      </c>
    </row>
    <row r="54" spans="1:18" x14ac:dyDescent="0.25">
      <c r="B54" s="3" t="s">
        <v>294</v>
      </c>
      <c r="C54" t="s">
        <v>14</v>
      </c>
      <c r="D54" t="s">
        <v>86</v>
      </c>
      <c r="E54" t="s">
        <v>21</v>
      </c>
      <c r="F54" t="s">
        <v>1</v>
      </c>
      <c r="G54" t="s">
        <v>87</v>
      </c>
      <c r="H54" t="s">
        <v>113</v>
      </c>
      <c r="I54" t="s">
        <v>30</v>
      </c>
      <c r="J54" t="s">
        <v>42</v>
      </c>
      <c r="K54" s="3" t="str">
        <f t="shared" si="1"/>
        <v>5</v>
      </c>
      <c r="L54">
        <v>3.5</v>
      </c>
      <c r="M54" t="s">
        <v>93</v>
      </c>
      <c r="N54" s="1">
        <v>45520</v>
      </c>
      <c r="O54" t="s">
        <v>234</v>
      </c>
      <c r="P54" t="str">
        <f t="shared" si="0"/>
        <v>"hf.co/bartowski/Phi-3.5-mini-instruct-GGUF:Q5_K_M", # 2.82 GB</v>
      </c>
      <c r="R54">
        <v>1</v>
      </c>
    </row>
    <row r="55" spans="1:18" x14ac:dyDescent="0.25">
      <c r="B55" s="3" t="s">
        <v>294</v>
      </c>
      <c r="C55" t="s">
        <v>14</v>
      </c>
      <c r="D55" t="s">
        <v>86</v>
      </c>
      <c r="E55" t="s">
        <v>21</v>
      </c>
      <c r="F55" t="s">
        <v>1</v>
      </c>
      <c r="G55" t="s">
        <v>87</v>
      </c>
      <c r="H55" t="s">
        <v>113</v>
      </c>
      <c r="I55" t="s">
        <v>32</v>
      </c>
      <c r="J55" t="s">
        <v>42</v>
      </c>
      <c r="K55" s="3" t="str">
        <f t="shared" si="1"/>
        <v>5</v>
      </c>
      <c r="L55">
        <v>3.5</v>
      </c>
      <c r="M55" t="s">
        <v>94</v>
      </c>
      <c r="N55" s="1">
        <v>45520</v>
      </c>
      <c r="O55" t="s">
        <v>234</v>
      </c>
      <c r="P55" t="str">
        <f t="shared" si="0"/>
        <v>"hf.co/bartowski/Phi-3.5-mini-instruct-GGUF:Q5_K_S", # 2.64 GB</v>
      </c>
      <c r="R55">
        <v>1</v>
      </c>
    </row>
    <row r="56" spans="1:18" x14ac:dyDescent="0.25">
      <c r="A56" s="2" t="s">
        <v>11</v>
      </c>
      <c r="B56" s="3" t="s">
        <v>294</v>
      </c>
      <c r="C56" t="s">
        <v>14</v>
      </c>
      <c r="D56" t="s">
        <v>86</v>
      </c>
      <c r="E56" t="s">
        <v>21</v>
      </c>
      <c r="F56" t="s">
        <v>1</v>
      </c>
      <c r="G56" t="s">
        <v>87</v>
      </c>
      <c r="H56" t="s">
        <v>113</v>
      </c>
      <c r="I56" t="s">
        <v>33</v>
      </c>
      <c r="J56" t="s">
        <v>3</v>
      </c>
      <c r="K56" s="3" t="str">
        <f t="shared" si="1"/>
        <v>4</v>
      </c>
      <c r="L56">
        <v>3.5</v>
      </c>
      <c r="M56" t="s">
        <v>95</v>
      </c>
      <c r="N56" s="1">
        <v>45520</v>
      </c>
      <c r="O56" t="s">
        <v>234</v>
      </c>
      <c r="P56" t="str">
        <f t="shared" si="0"/>
        <v>"hf.co/bartowski/Phi-3.5-mini-instruct-GGUF:Q4_K_L", # 2.47 GB</v>
      </c>
      <c r="R56">
        <v>1</v>
      </c>
    </row>
    <row r="57" spans="1:18" x14ac:dyDescent="0.25">
      <c r="B57" s="3" t="s">
        <v>294</v>
      </c>
      <c r="C57" t="s">
        <v>14</v>
      </c>
      <c r="D57" t="s">
        <v>86</v>
      </c>
      <c r="E57" t="s">
        <v>21</v>
      </c>
      <c r="F57" t="s">
        <v>1</v>
      </c>
      <c r="G57" t="s">
        <v>87</v>
      </c>
      <c r="H57" t="s">
        <v>113</v>
      </c>
      <c r="I57" t="s">
        <v>35</v>
      </c>
      <c r="J57" t="s">
        <v>3</v>
      </c>
      <c r="K57" s="3" t="str">
        <f t="shared" si="1"/>
        <v>4</v>
      </c>
      <c r="L57">
        <v>3.5</v>
      </c>
      <c r="M57" t="s">
        <v>96</v>
      </c>
      <c r="N57" s="1">
        <v>45520</v>
      </c>
      <c r="O57" t="s">
        <v>234</v>
      </c>
      <c r="P57" t="str">
        <f t="shared" si="0"/>
        <v>"hf.co/bartowski/Phi-3.5-mini-instruct-GGUF:Q4_K_M", # 2.39 GB</v>
      </c>
      <c r="R57">
        <v>1</v>
      </c>
    </row>
    <row r="58" spans="1:18" x14ac:dyDescent="0.25">
      <c r="B58" s="3" t="s">
        <v>294</v>
      </c>
      <c r="C58" t="s">
        <v>14</v>
      </c>
      <c r="D58" t="s">
        <v>86</v>
      </c>
      <c r="E58" t="s">
        <v>21</v>
      </c>
      <c r="F58" t="s">
        <v>1</v>
      </c>
      <c r="G58" t="s">
        <v>87</v>
      </c>
      <c r="H58" t="s">
        <v>113</v>
      </c>
      <c r="I58" t="s">
        <v>37</v>
      </c>
      <c r="J58" t="s">
        <v>3</v>
      </c>
      <c r="K58" s="3" t="str">
        <f t="shared" si="1"/>
        <v>4</v>
      </c>
      <c r="L58">
        <v>3.5</v>
      </c>
      <c r="M58" t="s">
        <v>97</v>
      </c>
      <c r="N58" s="1">
        <v>45520</v>
      </c>
      <c r="O58" t="s">
        <v>234</v>
      </c>
      <c r="P58" t="str">
        <f t="shared" si="0"/>
        <v>"hf.co/bartowski/Phi-3.5-mini-instruct-GGUF:Q4_K_S", # 2.19 GB</v>
      </c>
      <c r="R58">
        <v>1</v>
      </c>
    </row>
    <row r="59" spans="1:18" x14ac:dyDescent="0.25">
      <c r="B59" s="3" t="s">
        <v>294</v>
      </c>
      <c r="C59" t="s">
        <v>14</v>
      </c>
      <c r="D59" t="s">
        <v>86</v>
      </c>
      <c r="E59" t="s">
        <v>21</v>
      </c>
      <c r="F59" t="s">
        <v>1</v>
      </c>
      <c r="G59" t="s">
        <v>87</v>
      </c>
      <c r="H59" t="s">
        <v>113</v>
      </c>
      <c r="I59" t="s">
        <v>98</v>
      </c>
      <c r="J59" t="s">
        <v>3</v>
      </c>
      <c r="K59" s="3" t="str">
        <f t="shared" si="1"/>
        <v>4</v>
      </c>
      <c r="L59">
        <v>3.5</v>
      </c>
      <c r="M59" t="s">
        <v>99</v>
      </c>
      <c r="N59" s="1">
        <v>45520</v>
      </c>
      <c r="O59" t="s">
        <v>234</v>
      </c>
      <c r="P59" t="str">
        <f t="shared" si="0"/>
        <v>"hf.co/bartowski/Phi-3.5-mini-instruct-GGUF:Q4_0_8_8", # 2.18 GB</v>
      </c>
      <c r="R59">
        <v>1</v>
      </c>
    </row>
    <row r="60" spans="1:18" x14ac:dyDescent="0.25">
      <c r="B60" s="3" t="s">
        <v>294</v>
      </c>
      <c r="C60" t="s">
        <v>14</v>
      </c>
      <c r="D60" t="s">
        <v>86</v>
      </c>
      <c r="E60" t="s">
        <v>21</v>
      </c>
      <c r="F60" t="s">
        <v>1</v>
      </c>
      <c r="G60" t="s">
        <v>87</v>
      </c>
      <c r="H60" t="s">
        <v>113</v>
      </c>
      <c r="I60" t="s">
        <v>100</v>
      </c>
      <c r="J60" t="s">
        <v>3</v>
      </c>
      <c r="K60" s="3" t="str">
        <f t="shared" si="1"/>
        <v>4</v>
      </c>
      <c r="L60">
        <v>3.5</v>
      </c>
      <c r="M60" t="s">
        <v>99</v>
      </c>
      <c r="N60" s="1">
        <v>45520</v>
      </c>
      <c r="O60" t="s">
        <v>234</v>
      </c>
      <c r="P60" t="str">
        <f t="shared" si="0"/>
        <v>"hf.co/bartowski/Phi-3.5-mini-instruct-GGUF:Q4_0_4_8", # 2.18 GB</v>
      </c>
      <c r="R60">
        <v>1</v>
      </c>
    </row>
    <row r="61" spans="1:18" x14ac:dyDescent="0.25">
      <c r="B61" s="3" t="s">
        <v>294</v>
      </c>
      <c r="C61" t="s">
        <v>14</v>
      </c>
      <c r="D61" t="s">
        <v>86</v>
      </c>
      <c r="E61" t="s">
        <v>21</v>
      </c>
      <c r="F61" t="s">
        <v>1</v>
      </c>
      <c r="G61" t="s">
        <v>87</v>
      </c>
      <c r="H61" t="s">
        <v>113</v>
      </c>
      <c r="I61" t="s">
        <v>101</v>
      </c>
      <c r="J61" t="s">
        <v>3</v>
      </c>
      <c r="K61" s="3" t="str">
        <f t="shared" si="1"/>
        <v>4</v>
      </c>
      <c r="L61">
        <v>3.5</v>
      </c>
      <c r="M61" t="s">
        <v>99</v>
      </c>
      <c r="N61" s="1">
        <v>45520</v>
      </c>
      <c r="O61" t="s">
        <v>234</v>
      </c>
      <c r="P61" t="str">
        <f t="shared" si="0"/>
        <v>"hf.co/bartowski/Phi-3.5-mini-instruct-GGUF:Q4_0_4_4", # 2.18 GB</v>
      </c>
      <c r="R61">
        <v>1</v>
      </c>
    </row>
    <row r="62" spans="1:18" x14ac:dyDescent="0.25">
      <c r="B62" s="3" t="s">
        <v>294</v>
      </c>
      <c r="C62" t="s">
        <v>14</v>
      </c>
      <c r="D62" t="s">
        <v>86</v>
      </c>
      <c r="E62" t="s">
        <v>21</v>
      </c>
      <c r="F62" t="s">
        <v>1</v>
      </c>
      <c r="G62" t="s">
        <v>87</v>
      </c>
      <c r="H62" t="s">
        <v>113</v>
      </c>
      <c r="I62" t="s">
        <v>102</v>
      </c>
      <c r="J62" t="s">
        <v>3</v>
      </c>
      <c r="K62" s="3" t="str">
        <f t="shared" si="1"/>
        <v>4</v>
      </c>
      <c r="L62">
        <v>3.5</v>
      </c>
      <c r="M62" t="s">
        <v>99</v>
      </c>
      <c r="N62" s="1">
        <v>45520</v>
      </c>
      <c r="O62" t="s">
        <v>234</v>
      </c>
      <c r="P62" t="str">
        <f t="shared" si="0"/>
        <v>"hf.co/bartowski/Phi-3.5-mini-instruct-GGUF:Q4_0", # 2.18 GB</v>
      </c>
      <c r="R62">
        <v>1</v>
      </c>
    </row>
    <row r="63" spans="1:18" x14ac:dyDescent="0.25">
      <c r="B63" s="3" t="s">
        <v>294</v>
      </c>
      <c r="C63" t="s">
        <v>14</v>
      </c>
      <c r="D63" t="s">
        <v>86</v>
      </c>
      <c r="E63" t="s">
        <v>21</v>
      </c>
      <c r="F63" t="s">
        <v>1</v>
      </c>
      <c r="G63" t="s">
        <v>87</v>
      </c>
      <c r="H63" t="s">
        <v>113</v>
      </c>
      <c r="I63" t="s">
        <v>39</v>
      </c>
      <c r="J63" t="s">
        <v>43</v>
      </c>
      <c r="K63" s="3" t="str">
        <f t="shared" si="1"/>
        <v>3</v>
      </c>
      <c r="L63">
        <v>3.5</v>
      </c>
      <c r="M63" t="s">
        <v>103</v>
      </c>
      <c r="N63" s="1">
        <v>45520</v>
      </c>
      <c r="O63" t="s">
        <v>234</v>
      </c>
      <c r="P63" t="str">
        <f t="shared" si="0"/>
        <v>"hf.co/bartowski/Phi-3.5-mini-instruct-GGUF:Q3_K_XL", # 2.17 GB</v>
      </c>
      <c r="R63">
        <v>1</v>
      </c>
    </row>
    <row r="64" spans="1:18" x14ac:dyDescent="0.25">
      <c r="B64" s="3" t="s">
        <v>294</v>
      </c>
      <c r="C64" t="s">
        <v>14</v>
      </c>
      <c r="D64" t="s">
        <v>86</v>
      </c>
      <c r="E64" t="s">
        <v>21</v>
      </c>
      <c r="F64" t="s">
        <v>1</v>
      </c>
      <c r="G64" t="s">
        <v>87</v>
      </c>
      <c r="H64" t="s">
        <v>113</v>
      </c>
      <c r="I64" t="s">
        <v>61</v>
      </c>
      <c r="J64" t="s">
        <v>43</v>
      </c>
      <c r="K64" s="3" t="str">
        <f t="shared" si="1"/>
        <v>3</v>
      </c>
      <c r="L64">
        <v>3.5</v>
      </c>
      <c r="M64" t="s">
        <v>104</v>
      </c>
      <c r="N64" s="1">
        <v>45520</v>
      </c>
      <c r="O64" t="s">
        <v>234</v>
      </c>
      <c r="P64" t="str">
        <f t="shared" si="0"/>
        <v>"hf.co/bartowski/Phi-3.5-mini-instruct-GGUF:Q3_K_L", # 2.09 GB</v>
      </c>
      <c r="R64">
        <v>1</v>
      </c>
    </row>
    <row r="65" spans="1:18" x14ac:dyDescent="0.25">
      <c r="B65" s="3" t="s">
        <v>294</v>
      </c>
      <c r="C65" t="s">
        <v>14</v>
      </c>
      <c r="D65" t="s">
        <v>86</v>
      </c>
      <c r="E65" t="s">
        <v>21</v>
      </c>
      <c r="F65" t="s">
        <v>1</v>
      </c>
      <c r="G65" t="s">
        <v>87</v>
      </c>
      <c r="H65" t="s">
        <v>113</v>
      </c>
      <c r="I65" t="s">
        <v>59</v>
      </c>
      <c r="J65" t="s">
        <v>3</v>
      </c>
      <c r="K65" s="3" t="str">
        <f t="shared" si="1"/>
        <v>4</v>
      </c>
      <c r="L65">
        <v>3.5</v>
      </c>
      <c r="M65" t="s">
        <v>105</v>
      </c>
      <c r="N65" s="1">
        <v>45520</v>
      </c>
      <c r="O65" t="s">
        <v>234</v>
      </c>
      <c r="P65" t="str">
        <f t="shared" si="0"/>
        <v>"hf.co/bartowski/Phi-3.5-mini-instruct-GGUF:IQ4_XS", # 2.06 GB</v>
      </c>
      <c r="R65">
        <v>1</v>
      </c>
    </row>
    <row r="66" spans="1:18" x14ac:dyDescent="0.25">
      <c r="B66" s="3" t="s">
        <v>294</v>
      </c>
      <c r="C66" t="s">
        <v>14</v>
      </c>
      <c r="D66" t="s">
        <v>86</v>
      </c>
      <c r="E66" t="s">
        <v>21</v>
      </c>
      <c r="F66" t="s">
        <v>1</v>
      </c>
      <c r="G66" t="s">
        <v>87</v>
      </c>
      <c r="H66" t="s">
        <v>113</v>
      </c>
      <c r="I66" t="s">
        <v>63</v>
      </c>
      <c r="J66" t="s">
        <v>43</v>
      </c>
      <c r="K66" s="3" t="str">
        <f t="shared" si="1"/>
        <v>3</v>
      </c>
      <c r="L66">
        <v>3.5</v>
      </c>
      <c r="M66" t="s">
        <v>106</v>
      </c>
      <c r="N66" s="1">
        <v>45520</v>
      </c>
      <c r="O66" t="s">
        <v>234</v>
      </c>
      <c r="P66" t="str">
        <f t="shared" si="0"/>
        <v>"hf.co/bartowski/Phi-3.5-mini-instruct-GGUF:Q3_K_M", # 1.96 GB</v>
      </c>
      <c r="R66">
        <v>1</v>
      </c>
    </row>
    <row r="67" spans="1:18" x14ac:dyDescent="0.25">
      <c r="B67" s="3" t="s">
        <v>294</v>
      </c>
      <c r="C67" t="s">
        <v>14</v>
      </c>
      <c r="D67" t="s">
        <v>86</v>
      </c>
      <c r="E67" t="s">
        <v>21</v>
      </c>
      <c r="F67" t="s">
        <v>1</v>
      </c>
      <c r="G67" t="s">
        <v>87</v>
      </c>
      <c r="H67" t="s">
        <v>113</v>
      </c>
      <c r="I67" t="s">
        <v>65</v>
      </c>
      <c r="J67" t="s">
        <v>43</v>
      </c>
      <c r="K67" s="3" t="str">
        <f t="shared" si="1"/>
        <v>3</v>
      </c>
      <c r="L67">
        <v>3.5</v>
      </c>
      <c r="M67" t="s">
        <v>107</v>
      </c>
      <c r="N67" s="1">
        <v>45520</v>
      </c>
      <c r="O67" t="s">
        <v>234</v>
      </c>
      <c r="P67" t="str">
        <f t="shared" ref="P67:P130" si="2">CONCATENATE("""hf.co/", G67, ":", I67, """", ",", " # ", M67)</f>
        <v>"hf.co/bartowski/Phi-3.5-mini-instruct-GGUF:IQ3_M", # 1.86 GB</v>
      </c>
      <c r="R67">
        <v>1</v>
      </c>
    </row>
    <row r="68" spans="1:18" x14ac:dyDescent="0.25">
      <c r="B68" s="3" t="s">
        <v>294</v>
      </c>
      <c r="C68" t="s">
        <v>14</v>
      </c>
      <c r="D68" t="s">
        <v>86</v>
      </c>
      <c r="E68" t="s">
        <v>21</v>
      </c>
      <c r="F68" t="s">
        <v>1</v>
      </c>
      <c r="G68" t="s">
        <v>87</v>
      </c>
      <c r="H68" t="s">
        <v>113</v>
      </c>
      <c r="I68" t="s">
        <v>67</v>
      </c>
      <c r="J68" t="s">
        <v>43</v>
      </c>
      <c r="K68" s="3" t="str">
        <f t="shared" ref="K68:K131" si="3">LEFT(J68, FIND("-", J68) - 1)</f>
        <v>3</v>
      </c>
      <c r="L68">
        <v>3.5</v>
      </c>
      <c r="M68" t="s">
        <v>108</v>
      </c>
      <c r="N68" s="1">
        <v>45520</v>
      </c>
      <c r="O68" t="s">
        <v>234</v>
      </c>
      <c r="P68" t="str">
        <f t="shared" si="2"/>
        <v>"hf.co/bartowski/Phi-3.5-mini-instruct-GGUF:Q3_K_S", # 1.68 GB</v>
      </c>
      <c r="R68">
        <v>1</v>
      </c>
    </row>
    <row r="69" spans="1:18" x14ac:dyDescent="0.25">
      <c r="B69" s="3" t="s">
        <v>294</v>
      </c>
      <c r="C69" t="s">
        <v>14</v>
      </c>
      <c r="D69" t="s">
        <v>86</v>
      </c>
      <c r="E69" t="s">
        <v>21</v>
      </c>
      <c r="F69" t="s">
        <v>1</v>
      </c>
      <c r="G69" t="s">
        <v>87</v>
      </c>
      <c r="H69" t="s">
        <v>113</v>
      </c>
      <c r="I69" t="s">
        <v>69</v>
      </c>
      <c r="J69" t="s">
        <v>43</v>
      </c>
      <c r="K69" s="3" t="str">
        <f t="shared" si="3"/>
        <v>3</v>
      </c>
      <c r="L69">
        <v>3.5</v>
      </c>
      <c r="M69" t="s">
        <v>109</v>
      </c>
      <c r="N69" s="1">
        <v>45520</v>
      </c>
      <c r="O69" t="s">
        <v>234</v>
      </c>
      <c r="P69" t="str">
        <f t="shared" si="2"/>
        <v>"hf.co/bartowski/Phi-3.5-mini-instruct-GGUF:IQ3_XS", # 1.63 GB</v>
      </c>
      <c r="R69">
        <v>1</v>
      </c>
    </row>
    <row r="70" spans="1:18" x14ac:dyDescent="0.25">
      <c r="A70" s="2" t="s">
        <v>11</v>
      </c>
      <c r="B70" s="3" t="s">
        <v>294</v>
      </c>
      <c r="C70" t="s">
        <v>14</v>
      </c>
      <c r="D70" t="s">
        <v>86</v>
      </c>
      <c r="E70" t="s">
        <v>21</v>
      </c>
      <c r="F70" t="s">
        <v>1</v>
      </c>
      <c r="G70" t="s">
        <v>87</v>
      </c>
      <c r="H70" t="s">
        <v>113</v>
      </c>
      <c r="I70" t="s">
        <v>71</v>
      </c>
      <c r="J70" t="s">
        <v>114</v>
      </c>
      <c r="K70" s="3" t="str">
        <f t="shared" si="3"/>
        <v>2</v>
      </c>
      <c r="L70">
        <v>3.5</v>
      </c>
      <c r="M70" t="s">
        <v>110</v>
      </c>
      <c r="N70" s="1">
        <v>45520</v>
      </c>
      <c r="O70" t="s">
        <v>234</v>
      </c>
      <c r="P70" t="str">
        <f t="shared" si="2"/>
        <v>"hf.co/bartowski/Phi-3.5-mini-instruct-GGUF:Q2_K_L", # 1.51 GB</v>
      </c>
      <c r="R70">
        <v>1</v>
      </c>
    </row>
    <row r="71" spans="1:18" x14ac:dyDescent="0.25">
      <c r="B71" s="3" t="s">
        <v>294</v>
      </c>
      <c r="C71" t="s">
        <v>14</v>
      </c>
      <c r="D71" t="s">
        <v>86</v>
      </c>
      <c r="E71" t="s">
        <v>21</v>
      </c>
      <c r="F71" t="s">
        <v>1</v>
      </c>
      <c r="G71" t="s">
        <v>87</v>
      </c>
      <c r="H71" t="s">
        <v>113</v>
      </c>
      <c r="I71" t="s">
        <v>73</v>
      </c>
      <c r="J71" t="s">
        <v>114</v>
      </c>
      <c r="K71" s="3" t="str">
        <f t="shared" si="3"/>
        <v>2</v>
      </c>
      <c r="L71">
        <v>3.5</v>
      </c>
      <c r="M71" t="s">
        <v>111</v>
      </c>
      <c r="N71" s="1">
        <v>45520</v>
      </c>
      <c r="O71" t="s">
        <v>234</v>
      </c>
      <c r="P71" t="str">
        <f t="shared" si="2"/>
        <v>"hf.co/bartowski/Phi-3.5-mini-instruct-GGUF:Q2_K", # 1.42 GB</v>
      </c>
      <c r="R71">
        <v>1</v>
      </c>
    </row>
    <row r="72" spans="1:18" x14ac:dyDescent="0.25">
      <c r="B72" s="3" t="s">
        <v>294</v>
      </c>
      <c r="C72" t="s">
        <v>14</v>
      </c>
      <c r="D72" t="s">
        <v>86</v>
      </c>
      <c r="E72" t="s">
        <v>21</v>
      </c>
      <c r="F72" t="s">
        <v>1</v>
      </c>
      <c r="G72" t="s">
        <v>87</v>
      </c>
      <c r="H72" t="s">
        <v>113</v>
      </c>
      <c r="I72" t="s">
        <v>75</v>
      </c>
      <c r="J72" t="s">
        <v>114</v>
      </c>
      <c r="K72" s="3" t="str">
        <f t="shared" si="3"/>
        <v>2</v>
      </c>
      <c r="L72">
        <v>3.5</v>
      </c>
      <c r="M72" t="s">
        <v>112</v>
      </c>
      <c r="N72" s="1">
        <v>45520</v>
      </c>
      <c r="O72" t="s">
        <v>234</v>
      </c>
      <c r="P72" t="str">
        <f t="shared" si="2"/>
        <v>"hf.co/bartowski/Phi-3.5-mini-instruct-GGUF:IQ2_M", # 1.32 GB</v>
      </c>
      <c r="R72">
        <v>1</v>
      </c>
    </row>
    <row r="73" spans="1:18" x14ac:dyDescent="0.25">
      <c r="A73" s="2" t="s">
        <v>11</v>
      </c>
      <c r="C73" t="s">
        <v>116</v>
      </c>
      <c r="D73" t="s">
        <v>117</v>
      </c>
      <c r="E73" t="s">
        <v>21</v>
      </c>
      <c r="F73" t="s">
        <v>1</v>
      </c>
      <c r="G73" t="s">
        <v>118</v>
      </c>
      <c r="H73" t="s">
        <v>127</v>
      </c>
      <c r="I73" t="s">
        <v>119</v>
      </c>
      <c r="J73" t="s">
        <v>45</v>
      </c>
      <c r="K73" s="3" t="str">
        <f t="shared" si="3"/>
        <v>16</v>
      </c>
      <c r="L73">
        <v>70</v>
      </c>
      <c r="M73" t="s">
        <v>120</v>
      </c>
      <c r="N73" s="1">
        <v>45632</v>
      </c>
      <c r="O73" t="s">
        <v>234</v>
      </c>
      <c r="P73" t="str">
        <f t="shared" si="2"/>
        <v>"hf.co/bartowski/Llama-3.3-70B-Instruct-GGUF:F16", # 141.12 GB</v>
      </c>
      <c r="Q73">
        <v>3</v>
      </c>
    </row>
    <row r="74" spans="1:18" x14ac:dyDescent="0.25">
      <c r="A74" s="2" t="s">
        <v>11</v>
      </c>
      <c r="C74" t="s">
        <v>116</v>
      </c>
      <c r="D74" t="s">
        <v>117</v>
      </c>
      <c r="E74" t="s">
        <v>21</v>
      </c>
      <c r="F74" t="s">
        <v>1</v>
      </c>
      <c r="G74" t="s">
        <v>118</v>
      </c>
      <c r="H74" t="s">
        <v>127</v>
      </c>
      <c r="I74" t="s">
        <v>23</v>
      </c>
      <c r="J74" t="s">
        <v>4</v>
      </c>
      <c r="K74" s="3" t="str">
        <f t="shared" si="3"/>
        <v>8</v>
      </c>
      <c r="L74">
        <v>70</v>
      </c>
      <c r="M74" t="s">
        <v>49</v>
      </c>
      <c r="N74" s="1">
        <v>45632</v>
      </c>
      <c r="O74" t="s">
        <v>234</v>
      </c>
      <c r="P74" t="str">
        <f t="shared" si="2"/>
        <v>"hf.co/bartowski/Llama-3.3-70B-Instruct-GGUF:Q8_0", # 74.98 GB</v>
      </c>
      <c r="Q74">
        <v>3</v>
      </c>
    </row>
    <row r="75" spans="1:18" x14ac:dyDescent="0.25">
      <c r="C75" t="s">
        <v>116</v>
      </c>
      <c r="D75" t="s">
        <v>117</v>
      </c>
      <c r="E75" t="s">
        <v>21</v>
      </c>
      <c r="F75" t="s">
        <v>1</v>
      </c>
      <c r="G75" t="s">
        <v>118</v>
      </c>
      <c r="H75" t="s">
        <v>127</v>
      </c>
      <c r="I75" t="s">
        <v>25</v>
      </c>
      <c r="J75" t="s">
        <v>41</v>
      </c>
      <c r="K75" s="3" t="str">
        <f t="shared" si="3"/>
        <v>6</v>
      </c>
      <c r="L75">
        <v>70</v>
      </c>
      <c r="M75" t="s">
        <v>50</v>
      </c>
      <c r="N75" s="1">
        <v>45632</v>
      </c>
      <c r="O75" t="s">
        <v>234</v>
      </c>
      <c r="P75" t="str">
        <f t="shared" si="2"/>
        <v>"hf.co/bartowski/Llama-3.3-70B-Instruct-GGUF:Q6_K_L", # 58.40 GB</v>
      </c>
      <c r="Q75">
        <v>2</v>
      </c>
    </row>
    <row r="76" spans="1:18" x14ac:dyDescent="0.25">
      <c r="C76" t="s">
        <v>116</v>
      </c>
      <c r="D76" t="s">
        <v>117</v>
      </c>
      <c r="E76" t="s">
        <v>21</v>
      </c>
      <c r="F76" t="s">
        <v>1</v>
      </c>
      <c r="G76" t="s">
        <v>118</v>
      </c>
      <c r="H76" t="s">
        <v>127</v>
      </c>
      <c r="I76" t="s">
        <v>27</v>
      </c>
      <c r="J76" t="s">
        <v>41</v>
      </c>
      <c r="K76" s="3" t="str">
        <f t="shared" si="3"/>
        <v>6</v>
      </c>
      <c r="L76">
        <v>70</v>
      </c>
      <c r="M76" t="s">
        <v>51</v>
      </c>
      <c r="N76" s="1">
        <v>45632</v>
      </c>
      <c r="O76" t="s">
        <v>234</v>
      </c>
      <c r="P76" t="str">
        <f t="shared" si="2"/>
        <v>"hf.co/bartowski/Llama-3.3-70B-Instruct-GGUF:Q6_K", # 57.89 GB</v>
      </c>
      <c r="Q76">
        <v>2</v>
      </c>
    </row>
    <row r="77" spans="1:18" x14ac:dyDescent="0.25">
      <c r="C77" t="s">
        <v>116</v>
      </c>
      <c r="D77" t="s">
        <v>117</v>
      </c>
      <c r="E77" t="s">
        <v>21</v>
      </c>
      <c r="F77" t="s">
        <v>1</v>
      </c>
      <c r="G77" t="s">
        <v>118</v>
      </c>
      <c r="H77" t="s">
        <v>127</v>
      </c>
      <c r="I77" t="s">
        <v>28</v>
      </c>
      <c r="J77" t="s">
        <v>42</v>
      </c>
      <c r="K77" s="3" t="str">
        <f t="shared" si="3"/>
        <v>5</v>
      </c>
      <c r="L77">
        <v>70</v>
      </c>
      <c r="M77" t="s">
        <v>52</v>
      </c>
      <c r="N77" s="1">
        <v>45632</v>
      </c>
      <c r="O77" t="s">
        <v>234</v>
      </c>
      <c r="P77" t="str">
        <f t="shared" si="2"/>
        <v>"hf.co/bartowski/Llama-3.3-70B-Instruct-GGUF:Q5_K_L", # 50.60 GB</v>
      </c>
      <c r="Q77">
        <v>2</v>
      </c>
    </row>
    <row r="78" spans="1:18" x14ac:dyDescent="0.25">
      <c r="C78" t="s">
        <v>116</v>
      </c>
      <c r="D78" t="s">
        <v>117</v>
      </c>
      <c r="E78" t="s">
        <v>21</v>
      </c>
      <c r="F78" t="s">
        <v>1</v>
      </c>
      <c r="G78" t="s">
        <v>118</v>
      </c>
      <c r="H78" t="s">
        <v>127</v>
      </c>
      <c r="I78" t="s">
        <v>30</v>
      </c>
      <c r="J78" t="s">
        <v>42</v>
      </c>
      <c r="K78" s="3" t="str">
        <f t="shared" si="3"/>
        <v>5</v>
      </c>
      <c r="L78">
        <v>70</v>
      </c>
      <c r="M78" t="s">
        <v>53</v>
      </c>
      <c r="N78" s="1">
        <v>45632</v>
      </c>
      <c r="O78" t="s">
        <v>234</v>
      </c>
      <c r="P78" t="str">
        <f t="shared" si="2"/>
        <v>"hf.co/bartowski/Llama-3.3-70B-Instruct-GGUF:Q5_K_M", # 49.95 GB</v>
      </c>
      <c r="Q78">
        <v>2</v>
      </c>
    </row>
    <row r="79" spans="1:18" x14ac:dyDescent="0.25">
      <c r="C79" t="s">
        <v>116</v>
      </c>
      <c r="D79" t="s">
        <v>117</v>
      </c>
      <c r="E79" t="s">
        <v>21</v>
      </c>
      <c r="F79" t="s">
        <v>1</v>
      </c>
      <c r="G79" t="s">
        <v>118</v>
      </c>
      <c r="H79" t="s">
        <v>127</v>
      </c>
      <c r="I79" t="s">
        <v>32</v>
      </c>
      <c r="J79" t="s">
        <v>42</v>
      </c>
      <c r="K79" s="3" t="str">
        <f t="shared" si="3"/>
        <v>5</v>
      </c>
      <c r="L79">
        <v>70</v>
      </c>
      <c r="M79" t="s">
        <v>54</v>
      </c>
      <c r="N79" s="1">
        <v>45632</v>
      </c>
      <c r="O79" t="s">
        <v>234</v>
      </c>
      <c r="P79" t="str">
        <f t="shared" si="2"/>
        <v>"hf.co/bartowski/Llama-3.3-70B-Instruct-GGUF:Q5_K_S", # 48.66 GB</v>
      </c>
      <c r="Q79">
        <v>2</v>
      </c>
    </row>
    <row r="80" spans="1:18" x14ac:dyDescent="0.25">
      <c r="A80" s="2" t="s">
        <v>11</v>
      </c>
      <c r="C80" t="s">
        <v>116</v>
      </c>
      <c r="D80" t="s">
        <v>117</v>
      </c>
      <c r="E80" t="s">
        <v>21</v>
      </c>
      <c r="F80" t="s">
        <v>1</v>
      </c>
      <c r="G80" t="s">
        <v>118</v>
      </c>
      <c r="H80" t="s">
        <v>127</v>
      </c>
      <c r="I80" t="s">
        <v>33</v>
      </c>
      <c r="J80" t="s">
        <v>3</v>
      </c>
      <c r="K80" s="3" t="str">
        <f t="shared" si="3"/>
        <v>4</v>
      </c>
      <c r="L80">
        <v>70</v>
      </c>
      <c r="M80" t="s">
        <v>55</v>
      </c>
      <c r="N80" s="1">
        <v>45632</v>
      </c>
      <c r="O80" t="s">
        <v>234</v>
      </c>
      <c r="P80" t="str">
        <f t="shared" si="2"/>
        <v>"hf.co/bartowski/Llama-3.3-70B-Instruct-GGUF:Q4_K_L", # 43.30 GB</v>
      </c>
      <c r="Q80">
        <v>2</v>
      </c>
    </row>
    <row r="81" spans="1:17" x14ac:dyDescent="0.25">
      <c r="C81" t="s">
        <v>116</v>
      </c>
      <c r="D81" t="s">
        <v>117</v>
      </c>
      <c r="E81" t="s">
        <v>21</v>
      </c>
      <c r="F81" t="s">
        <v>1</v>
      </c>
      <c r="G81" t="s">
        <v>118</v>
      </c>
      <c r="H81" t="s">
        <v>127</v>
      </c>
      <c r="I81" t="s">
        <v>35</v>
      </c>
      <c r="J81" t="s">
        <v>3</v>
      </c>
      <c r="K81" s="3" t="str">
        <f t="shared" si="3"/>
        <v>4</v>
      </c>
      <c r="L81">
        <v>70</v>
      </c>
      <c r="M81" t="s">
        <v>56</v>
      </c>
      <c r="N81" s="1">
        <v>45632</v>
      </c>
      <c r="O81" t="s">
        <v>234</v>
      </c>
      <c r="P81" t="str">
        <f t="shared" si="2"/>
        <v>"hf.co/bartowski/Llama-3.3-70B-Instruct-GGUF:Q4_K_M", # 42.52 GB</v>
      </c>
      <c r="Q81">
        <v>2</v>
      </c>
    </row>
    <row r="82" spans="1:17" x14ac:dyDescent="0.25">
      <c r="C82" t="s">
        <v>116</v>
      </c>
      <c r="D82" t="s">
        <v>117</v>
      </c>
      <c r="E82" t="s">
        <v>21</v>
      </c>
      <c r="F82" t="s">
        <v>1</v>
      </c>
      <c r="G82" t="s">
        <v>118</v>
      </c>
      <c r="H82" t="s">
        <v>127</v>
      </c>
      <c r="I82" t="s">
        <v>37</v>
      </c>
      <c r="J82" t="s">
        <v>3</v>
      </c>
      <c r="K82" s="3" t="str">
        <f t="shared" si="3"/>
        <v>4</v>
      </c>
      <c r="L82">
        <v>70</v>
      </c>
      <c r="M82" t="s">
        <v>57</v>
      </c>
      <c r="N82" s="1">
        <v>45632</v>
      </c>
      <c r="O82" t="s">
        <v>234</v>
      </c>
      <c r="P82" t="str">
        <f t="shared" si="2"/>
        <v>"hf.co/bartowski/Llama-3.3-70B-Instruct-GGUF:Q4_K_S", # 40.35 GB</v>
      </c>
      <c r="Q82">
        <v>2</v>
      </c>
    </row>
    <row r="83" spans="1:17" x14ac:dyDescent="0.25">
      <c r="C83" t="s">
        <v>116</v>
      </c>
      <c r="D83" t="s">
        <v>117</v>
      </c>
      <c r="E83" t="s">
        <v>21</v>
      </c>
      <c r="F83" t="s">
        <v>1</v>
      </c>
      <c r="G83" t="s">
        <v>118</v>
      </c>
      <c r="H83" t="s">
        <v>127</v>
      </c>
      <c r="I83" t="s">
        <v>102</v>
      </c>
      <c r="J83" t="s">
        <v>3</v>
      </c>
      <c r="K83" s="3" t="str">
        <f t="shared" si="3"/>
        <v>4</v>
      </c>
      <c r="L83">
        <v>70</v>
      </c>
      <c r="M83" t="s">
        <v>121</v>
      </c>
      <c r="N83" s="1">
        <v>45632</v>
      </c>
      <c r="O83" t="s">
        <v>234</v>
      </c>
      <c r="P83" t="str">
        <f t="shared" si="2"/>
        <v>"hf.co/bartowski/Llama-3.3-70B-Instruct-GGUF:Q4_0", # 40.12 GB</v>
      </c>
      <c r="Q83">
        <v>2</v>
      </c>
    </row>
    <row r="84" spans="1:17" x14ac:dyDescent="0.25">
      <c r="C84" t="s">
        <v>116</v>
      </c>
      <c r="D84" t="s">
        <v>117</v>
      </c>
      <c r="E84" t="s">
        <v>21</v>
      </c>
      <c r="F84" t="s">
        <v>1</v>
      </c>
      <c r="G84" t="s">
        <v>118</v>
      </c>
      <c r="H84" t="s">
        <v>127</v>
      </c>
      <c r="I84" t="s">
        <v>122</v>
      </c>
      <c r="J84" t="s">
        <v>3</v>
      </c>
      <c r="K84" s="3" t="str">
        <f t="shared" si="3"/>
        <v>4</v>
      </c>
      <c r="L84">
        <v>70</v>
      </c>
      <c r="M84" t="s">
        <v>123</v>
      </c>
      <c r="N84" s="1">
        <v>45632</v>
      </c>
      <c r="O84" t="s">
        <v>234</v>
      </c>
      <c r="P84" t="str">
        <f t="shared" si="2"/>
        <v>"hf.co/bartowski/Llama-3.3-70B-Instruct-GGUF:IQ4_NL", # 40.05 GB</v>
      </c>
      <c r="Q84">
        <v>2</v>
      </c>
    </row>
    <row r="85" spans="1:17" x14ac:dyDescent="0.25">
      <c r="C85" t="s">
        <v>116</v>
      </c>
      <c r="D85" t="s">
        <v>117</v>
      </c>
      <c r="E85" t="s">
        <v>21</v>
      </c>
      <c r="F85" t="s">
        <v>1</v>
      </c>
      <c r="G85" t="s">
        <v>118</v>
      </c>
      <c r="H85" t="s">
        <v>127</v>
      </c>
      <c r="I85" t="s">
        <v>98</v>
      </c>
      <c r="J85" t="s">
        <v>3</v>
      </c>
      <c r="K85" s="3" t="str">
        <f t="shared" si="3"/>
        <v>4</v>
      </c>
      <c r="L85">
        <v>70</v>
      </c>
      <c r="M85" t="s">
        <v>124</v>
      </c>
      <c r="N85" s="1">
        <v>45632</v>
      </c>
      <c r="O85" t="s">
        <v>234</v>
      </c>
      <c r="P85" t="str">
        <f t="shared" si="2"/>
        <v>"hf.co/bartowski/Llama-3.3-70B-Instruct-GGUF:Q4_0_8_8", # 39.97 GB</v>
      </c>
      <c r="Q85">
        <v>2</v>
      </c>
    </row>
    <row r="86" spans="1:17" x14ac:dyDescent="0.25">
      <c r="C86" t="s">
        <v>116</v>
      </c>
      <c r="D86" t="s">
        <v>117</v>
      </c>
      <c r="E86" t="s">
        <v>21</v>
      </c>
      <c r="F86" t="s">
        <v>1</v>
      </c>
      <c r="G86" t="s">
        <v>118</v>
      </c>
      <c r="H86" t="s">
        <v>127</v>
      </c>
      <c r="I86" t="s">
        <v>100</v>
      </c>
      <c r="J86" t="s">
        <v>3</v>
      </c>
      <c r="K86" s="3" t="str">
        <f t="shared" si="3"/>
        <v>4</v>
      </c>
      <c r="L86">
        <v>70</v>
      </c>
      <c r="M86" t="s">
        <v>124</v>
      </c>
      <c r="N86" s="1">
        <v>45632</v>
      </c>
      <c r="O86" t="s">
        <v>234</v>
      </c>
      <c r="P86" t="str">
        <f t="shared" si="2"/>
        <v>"hf.co/bartowski/Llama-3.3-70B-Instruct-GGUF:Q4_0_4_8", # 39.97 GB</v>
      </c>
      <c r="Q86">
        <v>2</v>
      </c>
    </row>
    <row r="87" spans="1:17" x14ac:dyDescent="0.25">
      <c r="C87" t="s">
        <v>116</v>
      </c>
      <c r="D87" t="s">
        <v>117</v>
      </c>
      <c r="E87" t="s">
        <v>21</v>
      </c>
      <c r="F87" t="s">
        <v>1</v>
      </c>
      <c r="G87" t="s">
        <v>118</v>
      </c>
      <c r="H87" t="s">
        <v>127</v>
      </c>
      <c r="I87" t="s">
        <v>101</v>
      </c>
      <c r="J87" t="s">
        <v>3</v>
      </c>
      <c r="K87" s="3" t="str">
        <f t="shared" si="3"/>
        <v>4</v>
      </c>
      <c r="L87">
        <v>70</v>
      </c>
      <c r="M87" t="s">
        <v>124</v>
      </c>
      <c r="N87" s="1">
        <v>45632</v>
      </c>
      <c r="O87" t="s">
        <v>234</v>
      </c>
      <c r="P87" t="str">
        <f t="shared" si="2"/>
        <v>"hf.co/bartowski/Llama-3.3-70B-Instruct-GGUF:Q4_0_4_4", # 39.97 GB</v>
      </c>
      <c r="Q87">
        <v>2</v>
      </c>
    </row>
    <row r="88" spans="1:17" x14ac:dyDescent="0.25">
      <c r="C88" t="s">
        <v>116</v>
      </c>
      <c r="D88" t="s">
        <v>117</v>
      </c>
      <c r="E88" t="s">
        <v>21</v>
      </c>
      <c r="F88" t="s">
        <v>1</v>
      </c>
      <c r="G88" t="s">
        <v>118</v>
      </c>
      <c r="H88" t="s">
        <v>127</v>
      </c>
      <c r="I88" t="s">
        <v>39</v>
      </c>
      <c r="J88" t="s">
        <v>43</v>
      </c>
      <c r="K88" s="3" t="str">
        <f t="shared" si="3"/>
        <v>3</v>
      </c>
      <c r="L88">
        <v>70</v>
      </c>
      <c r="M88" t="s">
        <v>58</v>
      </c>
      <c r="N88" s="1">
        <v>45632</v>
      </c>
      <c r="O88" t="s">
        <v>234</v>
      </c>
      <c r="P88" t="str">
        <f t="shared" si="2"/>
        <v>"hf.co/bartowski/Llama-3.3-70B-Instruct-GGUF:Q3_K_XL", # 38.06 GB</v>
      </c>
      <c r="Q88">
        <v>2</v>
      </c>
    </row>
    <row r="89" spans="1:17" x14ac:dyDescent="0.25">
      <c r="C89" t="s">
        <v>116</v>
      </c>
      <c r="D89" t="s">
        <v>117</v>
      </c>
      <c r="E89" t="s">
        <v>21</v>
      </c>
      <c r="F89" t="s">
        <v>1</v>
      </c>
      <c r="G89" t="s">
        <v>118</v>
      </c>
      <c r="H89" t="s">
        <v>127</v>
      </c>
      <c r="I89" t="s">
        <v>59</v>
      </c>
      <c r="J89" t="s">
        <v>3</v>
      </c>
      <c r="K89" s="3" t="str">
        <f t="shared" si="3"/>
        <v>4</v>
      </c>
      <c r="L89">
        <v>70</v>
      </c>
      <c r="M89" t="s">
        <v>60</v>
      </c>
      <c r="N89" s="1">
        <v>45632</v>
      </c>
      <c r="O89" t="s">
        <v>234</v>
      </c>
      <c r="P89" t="str">
        <f t="shared" si="2"/>
        <v>"hf.co/bartowski/Llama-3.3-70B-Instruct-GGUF:IQ4_XS", # 37.90 GB</v>
      </c>
      <c r="Q89">
        <v>2</v>
      </c>
    </row>
    <row r="90" spans="1:17" x14ac:dyDescent="0.25">
      <c r="C90" t="s">
        <v>116</v>
      </c>
      <c r="D90" t="s">
        <v>117</v>
      </c>
      <c r="E90" t="s">
        <v>21</v>
      </c>
      <c r="F90" t="s">
        <v>1</v>
      </c>
      <c r="G90" t="s">
        <v>118</v>
      </c>
      <c r="H90" t="s">
        <v>127</v>
      </c>
      <c r="I90" t="s">
        <v>61</v>
      </c>
      <c r="J90" t="s">
        <v>43</v>
      </c>
      <c r="K90" s="3" t="str">
        <f t="shared" si="3"/>
        <v>3</v>
      </c>
      <c r="L90">
        <v>70</v>
      </c>
      <c r="M90" t="s">
        <v>62</v>
      </c>
      <c r="N90" s="1">
        <v>45632</v>
      </c>
      <c r="O90" t="s">
        <v>234</v>
      </c>
      <c r="P90" t="str">
        <f t="shared" si="2"/>
        <v>"hf.co/bartowski/Llama-3.3-70B-Instruct-GGUF:Q3_K_L", # 37.14 GB</v>
      </c>
      <c r="Q90">
        <v>2</v>
      </c>
    </row>
    <row r="91" spans="1:17" x14ac:dyDescent="0.25">
      <c r="C91" t="s">
        <v>116</v>
      </c>
      <c r="D91" t="s">
        <v>117</v>
      </c>
      <c r="E91" t="s">
        <v>21</v>
      </c>
      <c r="F91" t="s">
        <v>1</v>
      </c>
      <c r="G91" t="s">
        <v>118</v>
      </c>
      <c r="H91" t="s">
        <v>127</v>
      </c>
      <c r="I91" t="s">
        <v>63</v>
      </c>
      <c r="J91" t="s">
        <v>43</v>
      </c>
      <c r="K91" s="3" t="str">
        <f t="shared" si="3"/>
        <v>3</v>
      </c>
      <c r="L91">
        <v>70</v>
      </c>
      <c r="M91" t="s">
        <v>64</v>
      </c>
      <c r="N91" s="1">
        <v>45632</v>
      </c>
      <c r="O91" t="s">
        <v>234</v>
      </c>
      <c r="P91" t="str">
        <f t="shared" si="2"/>
        <v>"hf.co/bartowski/Llama-3.3-70B-Instruct-GGUF:Q3_K_M", # 34.27 GB</v>
      </c>
      <c r="Q91">
        <v>1</v>
      </c>
    </row>
    <row r="92" spans="1:17" x14ac:dyDescent="0.25">
      <c r="C92" t="s">
        <v>116</v>
      </c>
      <c r="D92" t="s">
        <v>117</v>
      </c>
      <c r="E92" t="s">
        <v>21</v>
      </c>
      <c r="F92" t="s">
        <v>1</v>
      </c>
      <c r="G92" t="s">
        <v>118</v>
      </c>
      <c r="H92" t="s">
        <v>127</v>
      </c>
      <c r="I92" t="s">
        <v>65</v>
      </c>
      <c r="J92" t="s">
        <v>43</v>
      </c>
      <c r="K92" s="3" t="str">
        <f t="shared" si="3"/>
        <v>3</v>
      </c>
      <c r="L92">
        <v>70</v>
      </c>
      <c r="M92" t="s">
        <v>66</v>
      </c>
      <c r="N92" s="1">
        <v>45632</v>
      </c>
      <c r="O92" t="s">
        <v>234</v>
      </c>
      <c r="P92" t="str">
        <f t="shared" si="2"/>
        <v>"hf.co/bartowski/Llama-3.3-70B-Instruct-GGUF:IQ3_M", # 31.94 GB</v>
      </c>
      <c r="Q92">
        <v>1</v>
      </c>
    </row>
    <row r="93" spans="1:17" x14ac:dyDescent="0.25">
      <c r="C93" t="s">
        <v>116</v>
      </c>
      <c r="D93" t="s">
        <v>117</v>
      </c>
      <c r="E93" t="s">
        <v>21</v>
      </c>
      <c r="F93" t="s">
        <v>1</v>
      </c>
      <c r="G93" t="s">
        <v>118</v>
      </c>
      <c r="H93" t="s">
        <v>127</v>
      </c>
      <c r="I93" t="s">
        <v>67</v>
      </c>
      <c r="J93" t="s">
        <v>43</v>
      </c>
      <c r="K93" s="3" t="str">
        <f t="shared" si="3"/>
        <v>3</v>
      </c>
      <c r="L93">
        <v>70</v>
      </c>
      <c r="M93" t="s">
        <v>68</v>
      </c>
      <c r="N93" s="1">
        <v>45632</v>
      </c>
      <c r="O93" t="s">
        <v>234</v>
      </c>
      <c r="P93" t="str">
        <f t="shared" si="2"/>
        <v>"hf.co/bartowski/Llama-3.3-70B-Instruct-GGUF:Q3_K_S", # 30.91 GB</v>
      </c>
      <c r="Q93">
        <v>1</v>
      </c>
    </row>
    <row r="94" spans="1:17" x14ac:dyDescent="0.25">
      <c r="C94" t="s">
        <v>116</v>
      </c>
      <c r="D94" t="s">
        <v>117</v>
      </c>
      <c r="E94" t="s">
        <v>21</v>
      </c>
      <c r="F94" t="s">
        <v>1</v>
      </c>
      <c r="G94" t="s">
        <v>118</v>
      </c>
      <c r="H94" t="s">
        <v>127</v>
      </c>
      <c r="I94" t="s">
        <v>69</v>
      </c>
      <c r="J94" t="s">
        <v>43</v>
      </c>
      <c r="K94" s="3" t="str">
        <f t="shared" si="3"/>
        <v>3</v>
      </c>
      <c r="L94">
        <v>70</v>
      </c>
      <c r="M94" t="s">
        <v>70</v>
      </c>
      <c r="N94" s="1">
        <v>45632</v>
      </c>
      <c r="O94" t="s">
        <v>234</v>
      </c>
      <c r="P94" t="str">
        <f t="shared" si="2"/>
        <v>"hf.co/bartowski/Llama-3.3-70B-Instruct-GGUF:IQ3_XS", # 29.31 GB</v>
      </c>
      <c r="Q94">
        <v>1</v>
      </c>
    </row>
    <row r="95" spans="1:17" x14ac:dyDescent="0.25">
      <c r="C95" t="s">
        <v>116</v>
      </c>
      <c r="D95" t="s">
        <v>117</v>
      </c>
      <c r="E95" t="s">
        <v>21</v>
      </c>
      <c r="F95" t="s">
        <v>1</v>
      </c>
      <c r="G95" t="s">
        <v>118</v>
      </c>
      <c r="H95" t="s">
        <v>127</v>
      </c>
      <c r="I95" t="s">
        <v>125</v>
      </c>
      <c r="J95" t="s">
        <v>43</v>
      </c>
      <c r="K95" s="3" t="str">
        <f t="shared" si="3"/>
        <v>3</v>
      </c>
      <c r="L95">
        <v>70</v>
      </c>
      <c r="M95" t="s">
        <v>126</v>
      </c>
      <c r="N95" s="1">
        <v>45632</v>
      </c>
      <c r="O95" t="s">
        <v>234</v>
      </c>
      <c r="P95" t="str">
        <f t="shared" si="2"/>
        <v>"hf.co/bartowski/Llama-3.3-70B-Instruct-GGUF:IQ3_XXS", # 27.47 GB</v>
      </c>
      <c r="Q95">
        <v>1</v>
      </c>
    </row>
    <row r="96" spans="1:17" x14ac:dyDescent="0.25">
      <c r="A96" s="2" t="s">
        <v>11</v>
      </c>
      <c r="C96" t="s">
        <v>116</v>
      </c>
      <c r="D96" t="s">
        <v>117</v>
      </c>
      <c r="E96" t="s">
        <v>21</v>
      </c>
      <c r="F96" t="s">
        <v>1</v>
      </c>
      <c r="G96" t="s">
        <v>118</v>
      </c>
      <c r="H96" t="s">
        <v>127</v>
      </c>
      <c r="I96" t="s">
        <v>71</v>
      </c>
      <c r="J96" t="s">
        <v>114</v>
      </c>
      <c r="K96" s="3" t="str">
        <f t="shared" si="3"/>
        <v>2</v>
      </c>
      <c r="L96">
        <v>70</v>
      </c>
      <c r="M96" t="s">
        <v>72</v>
      </c>
      <c r="N96" s="1">
        <v>45632</v>
      </c>
      <c r="O96" t="s">
        <v>234</v>
      </c>
      <c r="P96" t="str">
        <f t="shared" si="2"/>
        <v>"hf.co/bartowski/Llama-3.3-70B-Instruct-GGUF:Q2_K_L", # 27.40 GB</v>
      </c>
      <c r="Q96">
        <v>1</v>
      </c>
    </row>
    <row r="97" spans="1:18" x14ac:dyDescent="0.25">
      <c r="C97" t="s">
        <v>116</v>
      </c>
      <c r="D97" t="s">
        <v>117</v>
      </c>
      <c r="E97" t="s">
        <v>21</v>
      </c>
      <c r="F97" t="s">
        <v>1</v>
      </c>
      <c r="G97" t="s">
        <v>118</v>
      </c>
      <c r="H97" t="s">
        <v>127</v>
      </c>
      <c r="I97" t="s">
        <v>73</v>
      </c>
      <c r="J97" t="s">
        <v>114</v>
      </c>
      <c r="K97" s="3" t="str">
        <f t="shared" si="3"/>
        <v>2</v>
      </c>
      <c r="L97">
        <v>70</v>
      </c>
      <c r="M97" t="s">
        <v>74</v>
      </c>
      <c r="N97" s="1">
        <v>45632</v>
      </c>
      <c r="O97" t="s">
        <v>234</v>
      </c>
      <c r="P97" t="str">
        <f t="shared" si="2"/>
        <v>"hf.co/bartowski/Llama-3.3-70B-Instruct-GGUF:Q2_K", # 26.38 GB</v>
      </c>
      <c r="Q97">
        <v>1</v>
      </c>
    </row>
    <row r="98" spans="1:18" x14ac:dyDescent="0.25">
      <c r="C98" t="s">
        <v>116</v>
      </c>
      <c r="D98" t="s">
        <v>117</v>
      </c>
      <c r="E98" t="s">
        <v>21</v>
      </c>
      <c r="F98" t="s">
        <v>1</v>
      </c>
      <c r="G98" t="s">
        <v>118</v>
      </c>
      <c r="H98" t="s">
        <v>127</v>
      </c>
      <c r="I98" t="s">
        <v>75</v>
      </c>
      <c r="J98" t="s">
        <v>114</v>
      </c>
      <c r="K98" s="3" t="str">
        <f t="shared" si="3"/>
        <v>2</v>
      </c>
      <c r="L98">
        <v>70</v>
      </c>
      <c r="M98" t="s">
        <v>76</v>
      </c>
      <c r="N98" s="1">
        <v>45632</v>
      </c>
      <c r="O98" t="s">
        <v>234</v>
      </c>
      <c r="P98" t="str">
        <f t="shared" si="2"/>
        <v>"hf.co/bartowski/Llama-3.3-70B-Instruct-GGUF:IQ2_M", # 24.12 GB</v>
      </c>
      <c r="Q98">
        <v>1</v>
      </c>
    </row>
    <row r="99" spans="1:18" x14ac:dyDescent="0.25">
      <c r="C99" t="s">
        <v>116</v>
      </c>
      <c r="D99" t="s">
        <v>117</v>
      </c>
      <c r="E99" t="s">
        <v>21</v>
      </c>
      <c r="F99" t="s">
        <v>1</v>
      </c>
      <c r="G99" t="s">
        <v>118</v>
      </c>
      <c r="H99" t="s">
        <v>127</v>
      </c>
      <c r="I99" t="s">
        <v>77</v>
      </c>
      <c r="J99" t="s">
        <v>114</v>
      </c>
      <c r="K99" s="3" t="str">
        <f t="shared" si="3"/>
        <v>2</v>
      </c>
      <c r="L99">
        <v>70</v>
      </c>
      <c r="M99" t="s">
        <v>78</v>
      </c>
      <c r="N99" s="1">
        <v>45632</v>
      </c>
      <c r="O99" t="s">
        <v>234</v>
      </c>
      <c r="P99" t="str">
        <f t="shared" si="2"/>
        <v>"hf.co/bartowski/Llama-3.3-70B-Instruct-GGUF:IQ2_S", # 22.24 GB</v>
      </c>
      <c r="Q99">
        <v>1</v>
      </c>
    </row>
    <row r="100" spans="1:18" x14ac:dyDescent="0.25">
      <c r="C100" t="s">
        <v>116</v>
      </c>
      <c r="D100" t="s">
        <v>117</v>
      </c>
      <c r="E100" t="s">
        <v>21</v>
      </c>
      <c r="F100" t="s">
        <v>1</v>
      </c>
      <c r="G100" t="s">
        <v>118</v>
      </c>
      <c r="H100" t="s">
        <v>127</v>
      </c>
      <c r="I100" t="s">
        <v>79</v>
      </c>
      <c r="J100" t="s">
        <v>114</v>
      </c>
      <c r="K100" s="3" t="str">
        <f t="shared" si="3"/>
        <v>2</v>
      </c>
      <c r="L100">
        <v>70</v>
      </c>
      <c r="M100" t="s">
        <v>80</v>
      </c>
      <c r="N100" s="1">
        <v>45632</v>
      </c>
      <c r="O100" t="s">
        <v>234</v>
      </c>
      <c r="P100" t="str">
        <f t="shared" si="2"/>
        <v>"hf.co/bartowski/Llama-3.3-70B-Instruct-GGUF:IQ2_XS", # 21.14 GB</v>
      </c>
      <c r="Q100">
        <v>1</v>
      </c>
    </row>
    <row r="101" spans="1:18" x14ac:dyDescent="0.25">
      <c r="C101" t="s">
        <v>116</v>
      </c>
      <c r="D101" t="s">
        <v>117</v>
      </c>
      <c r="E101" t="s">
        <v>21</v>
      </c>
      <c r="F101" t="s">
        <v>1</v>
      </c>
      <c r="G101" t="s">
        <v>118</v>
      </c>
      <c r="H101" t="s">
        <v>127</v>
      </c>
      <c r="I101" t="s">
        <v>81</v>
      </c>
      <c r="J101" t="s">
        <v>114</v>
      </c>
      <c r="K101" s="3" t="str">
        <f t="shared" si="3"/>
        <v>2</v>
      </c>
      <c r="L101">
        <v>70</v>
      </c>
      <c r="M101" t="s">
        <v>82</v>
      </c>
      <c r="N101" s="1">
        <v>45632</v>
      </c>
      <c r="O101" t="s">
        <v>234</v>
      </c>
      <c r="P101" t="str">
        <f t="shared" si="2"/>
        <v>"hf.co/bartowski/Llama-3.3-70B-Instruct-GGUF:IQ2_XXS", # 19.10 GB</v>
      </c>
      <c r="Q101">
        <v>1</v>
      </c>
    </row>
    <row r="102" spans="1:18" x14ac:dyDescent="0.25">
      <c r="C102" t="s">
        <v>116</v>
      </c>
      <c r="D102" t="s">
        <v>117</v>
      </c>
      <c r="E102" t="s">
        <v>21</v>
      </c>
      <c r="F102" t="s">
        <v>1</v>
      </c>
      <c r="G102" t="s">
        <v>118</v>
      </c>
      <c r="H102" t="s">
        <v>127</v>
      </c>
      <c r="I102" t="s">
        <v>83</v>
      </c>
      <c r="J102" t="s">
        <v>115</v>
      </c>
      <c r="K102" s="3" t="str">
        <f t="shared" si="3"/>
        <v>1</v>
      </c>
      <c r="L102">
        <v>70</v>
      </c>
      <c r="M102" t="s">
        <v>84</v>
      </c>
      <c r="N102" s="1">
        <v>45632</v>
      </c>
      <c r="O102" t="s">
        <v>234</v>
      </c>
      <c r="P102" t="str">
        <f t="shared" si="2"/>
        <v>"hf.co/bartowski/Llama-3.3-70B-Instruct-GGUF:IQ1_M", # 16.75 GB</v>
      </c>
      <c r="Q102">
        <v>1</v>
      </c>
    </row>
    <row r="103" spans="1:18" x14ac:dyDescent="0.25">
      <c r="A103" s="2" t="s">
        <v>11</v>
      </c>
      <c r="C103" t="s">
        <v>128</v>
      </c>
      <c r="D103" t="s">
        <v>129</v>
      </c>
      <c r="E103" t="s">
        <v>21</v>
      </c>
      <c r="F103" t="s">
        <v>1</v>
      </c>
      <c r="G103" t="s">
        <v>130</v>
      </c>
      <c r="H103" t="s">
        <v>204</v>
      </c>
      <c r="I103" t="s">
        <v>119</v>
      </c>
      <c r="J103" t="s">
        <v>45</v>
      </c>
      <c r="K103" s="3" t="str">
        <f t="shared" si="3"/>
        <v>16</v>
      </c>
      <c r="L103">
        <v>32</v>
      </c>
      <c r="M103" t="s">
        <v>131</v>
      </c>
      <c r="N103" s="1">
        <v>45552</v>
      </c>
      <c r="O103" t="s">
        <v>234</v>
      </c>
      <c r="P103" t="str">
        <f t="shared" si="2"/>
        <v>"hf.co/bartowski/Qwen2.5-32B-Instruct-GGUF:F16", # 65.54 GB</v>
      </c>
      <c r="Q103">
        <v>2</v>
      </c>
    </row>
    <row r="104" spans="1:18" x14ac:dyDescent="0.25">
      <c r="A104" s="2" t="s">
        <v>11</v>
      </c>
      <c r="B104" s="3" t="s">
        <v>292</v>
      </c>
      <c r="C104" t="s">
        <v>128</v>
      </c>
      <c r="D104" t="s">
        <v>129</v>
      </c>
      <c r="E104" t="s">
        <v>21</v>
      </c>
      <c r="F104" t="s">
        <v>1</v>
      </c>
      <c r="G104" t="s">
        <v>130</v>
      </c>
      <c r="H104" t="s">
        <v>204</v>
      </c>
      <c r="I104" t="s">
        <v>23</v>
      </c>
      <c r="J104" t="s">
        <v>4</v>
      </c>
      <c r="K104" s="3" t="str">
        <f t="shared" si="3"/>
        <v>8</v>
      </c>
      <c r="L104">
        <v>32</v>
      </c>
      <c r="M104" t="s">
        <v>132</v>
      </c>
      <c r="N104" s="1">
        <v>45552</v>
      </c>
      <c r="O104" t="s">
        <v>234</v>
      </c>
      <c r="P104" t="str">
        <f t="shared" si="2"/>
        <v>"hf.co/bartowski/Qwen2.5-32B-Instruct-GGUF:Q8_0", # 34.82 GB</v>
      </c>
      <c r="R104">
        <v>1</v>
      </c>
    </row>
    <row r="105" spans="1:18" x14ac:dyDescent="0.25">
      <c r="B105" s="3" t="s">
        <v>292</v>
      </c>
      <c r="C105" t="s">
        <v>128</v>
      </c>
      <c r="D105" t="s">
        <v>129</v>
      </c>
      <c r="E105" t="s">
        <v>21</v>
      </c>
      <c r="F105" t="s">
        <v>1</v>
      </c>
      <c r="G105" t="s">
        <v>130</v>
      </c>
      <c r="H105" t="s">
        <v>204</v>
      </c>
      <c r="I105" t="s">
        <v>25</v>
      </c>
      <c r="J105" t="s">
        <v>41</v>
      </c>
      <c r="K105" s="3" t="str">
        <f t="shared" si="3"/>
        <v>6</v>
      </c>
      <c r="L105">
        <v>32</v>
      </c>
      <c r="M105" t="s">
        <v>133</v>
      </c>
      <c r="N105" s="1">
        <v>45552</v>
      </c>
      <c r="O105" t="s">
        <v>234</v>
      </c>
      <c r="P105" t="str">
        <f t="shared" si="2"/>
        <v>"hf.co/bartowski/Qwen2.5-32B-Instruct-GGUF:Q6_K_L", # 27.26 GB</v>
      </c>
      <c r="R105">
        <v>1</v>
      </c>
    </row>
    <row r="106" spans="1:18" x14ac:dyDescent="0.25">
      <c r="B106" s="3" t="s">
        <v>292</v>
      </c>
      <c r="C106" t="s">
        <v>128</v>
      </c>
      <c r="D106" t="s">
        <v>129</v>
      </c>
      <c r="E106" t="s">
        <v>21</v>
      </c>
      <c r="F106" t="s">
        <v>1</v>
      </c>
      <c r="G106" t="s">
        <v>130</v>
      </c>
      <c r="H106" t="s">
        <v>204</v>
      </c>
      <c r="I106" t="s">
        <v>27</v>
      </c>
      <c r="J106" t="s">
        <v>41</v>
      </c>
      <c r="K106" s="3" t="str">
        <f t="shared" si="3"/>
        <v>6</v>
      </c>
      <c r="L106">
        <v>32</v>
      </c>
      <c r="M106" t="s">
        <v>134</v>
      </c>
      <c r="N106" s="1">
        <v>45552</v>
      </c>
      <c r="O106" t="s">
        <v>234</v>
      </c>
      <c r="P106" t="str">
        <f t="shared" si="2"/>
        <v>"hf.co/bartowski/Qwen2.5-32B-Instruct-GGUF:Q6_K", # 26.89 GB</v>
      </c>
      <c r="R106">
        <v>1</v>
      </c>
    </row>
    <row r="107" spans="1:18" x14ac:dyDescent="0.25">
      <c r="B107" s="3" t="s">
        <v>292</v>
      </c>
      <c r="C107" t="s">
        <v>128</v>
      </c>
      <c r="D107" t="s">
        <v>129</v>
      </c>
      <c r="E107" t="s">
        <v>21</v>
      </c>
      <c r="F107" t="s">
        <v>1</v>
      </c>
      <c r="G107" t="s">
        <v>130</v>
      </c>
      <c r="H107" t="s">
        <v>204</v>
      </c>
      <c r="I107" t="s">
        <v>28</v>
      </c>
      <c r="J107" t="s">
        <v>42</v>
      </c>
      <c r="K107" s="3" t="str">
        <f t="shared" si="3"/>
        <v>5</v>
      </c>
      <c r="L107">
        <v>32</v>
      </c>
      <c r="M107" t="s">
        <v>135</v>
      </c>
      <c r="N107" s="1">
        <v>45552</v>
      </c>
      <c r="O107" t="s">
        <v>234</v>
      </c>
      <c r="P107" t="str">
        <f t="shared" si="2"/>
        <v>"hf.co/bartowski/Qwen2.5-32B-Instruct-GGUF:Q5_K_L", # 23.74 GB</v>
      </c>
      <c r="R107">
        <v>1</v>
      </c>
    </row>
    <row r="108" spans="1:18" x14ac:dyDescent="0.25">
      <c r="B108" s="3" t="s">
        <v>292</v>
      </c>
      <c r="C108" t="s">
        <v>128</v>
      </c>
      <c r="D108" t="s">
        <v>129</v>
      </c>
      <c r="E108" t="s">
        <v>21</v>
      </c>
      <c r="F108" t="s">
        <v>1</v>
      </c>
      <c r="G108" t="s">
        <v>130</v>
      </c>
      <c r="H108" t="s">
        <v>204</v>
      </c>
      <c r="I108" t="s">
        <v>30</v>
      </c>
      <c r="J108" t="s">
        <v>42</v>
      </c>
      <c r="K108" s="3" t="str">
        <f t="shared" si="3"/>
        <v>5</v>
      </c>
      <c r="L108">
        <v>32</v>
      </c>
      <c r="M108" t="s">
        <v>136</v>
      </c>
      <c r="N108" s="1">
        <v>45552</v>
      </c>
      <c r="O108" t="s">
        <v>234</v>
      </c>
      <c r="P108" t="str">
        <f t="shared" si="2"/>
        <v>"hf.co/bartowski/Qwen2.5-32B-Instruct-GGUF:Q5_K_M", # 23.26 GB</v>
      </c>
      <c r="R108">
        <v>1</v>
      </c>
    </row>
    <row r="109" spans="1:18" x14ac:dyDescent="0.25">
      <c r="B109" s="3" t="s">
        <v>292</v>
      </c>
      <c r="C109" t="s">
        <v>128</v>
      </c>
      <c r="D109" t="s">
        <v>129</v>
      </c>
      <c r="E109" t="s">
        <v>21</v>
      </c>
      <c r="F109" t="s">
        <v>1</v>
      </c>
      <c r="G109" t="s">
        <v>130</v>
      </c>
      <c r="H109" t="s">
        <v>204</v>
      </c>
      <c r="I109" t="s">
        <v>32</v>
      </c>
      <c r="J109" t="s">
        <v>42</v>
      </c>
      <c r="K109" s="3" t="str">
        <f t="shared" si="3"/>
        <v>5</v>
      </c>
      <c r="L109">
        <v>32</v>
      </c>
      <c r="M109" t="s">
        <v>137</v>
      </c>
      <c r="N109" s="1">
        <v>45552</v>
      </c>
      <c r="O109" t="s">
        <v>234</v>
      </c>
      <c r="P109" t="str">
        <f t="shared" si="2"/>
        <v>"hf.co/bartowski/Qwen2.5-32B-Instruct-GGUF:Q5_K_S", # 22.64 GB</v>
      </c>
      <c r="R109">
        <v>1</v>
      </c>
    </row>
    <row r="110" spans="1:18" x14ac:dyDescent="0.25">
      <c r="A110" s="2" t="s">
        <v>11</v>
      </c>
      <c r="B110" s="3" t="s">
        <v>292</v>
      </c>
      <c r="C110" t="s">
        <v>128</v>
      </c>
      <c r="D110" t="s">
        <v>129</v>
      </c>
      <c r="E110" t="s">
        <v>21</v>
      </c>
      <c r="F110" t="s">
        <v>1</v>
      </c>
      <c r="G110" t="s">
        <v>130</v>
      </c>
      <c r="H110" t="s">
        <v>204</v>
      </c>
      <c r="I110" t="s">
        <v>33</v>
      </c>
      <c r="J110" t="s">
        <v>3</v>
      </c>
      <c r="K110" s="3" t="str">
        <f t="shared" si="3"/>
        <v>4</v>
      </c>
      <c r="L110">
        <v>32</v>
      </c>
      <c r="M110" t="s">
        <v>138</v>
      </c>
      <c r="N110" s="1">
        <v>45552</v>
      </c>
      <c r="O110" t="s">
        <v>234</v>
      </c>
      <c r="P110" t="str">
        <f t="shared" si="2"/>
        <v>"hf.co/bartowski/Qwen2.5-32B-Instruct-GGUF:Q4_K_L", # 20.43 GB</v>
      </c>
      <c r="R110">
        <v>1</v>
      </c>
    </row>
    <row r="111" spans="1:18" x14ac:dyDescent="0.25">
      <c r="B111" s="3" t="s">
        <v>292</v>
      </c>
      <c r="C111" t="s">
        <v>128</v>
      </c>
      <c r="D111" t="s">
        <v>129</v>
      </c>
      <c r="E111" t="s">
        <v>21</v>
      </c>
      <c r="F111" t="s">
        <v>1</v>
      </c>
      <c r="G111" t="s">
        <v>130</v>
      </c>
      <c r="H111" t="s">
        <v>204</v>
      </c>
      <c r="I111" t="s">
        <v>35</v>
      </c>
      <c r="J111" t="s">
        <v>3</v>
      </c>
      <c r="K111" s="3" t="str">
        <f t="shared" si="3"/>
        <v>4</v>
      </c>
      <c r="L111">
        <v>32</v>
      </c>
      <c r="M111" t="s">
        <v>139</v>
      </c>
      <c r="N111" s="1">
        <v>45552</v>
      </c>
      <c r="O111" t="s">
        <v>234</v>
      </c>
      <c r="P111" t="str">
        <f t="shared" si="2"/>
        <v>"hf.co/bartowski/Qwen2.5-32B-Instruct-GGUF:Q4_K_M", # 19.85 GB</v>
      </c>
      <c r="R111">
        <v>1</v>
      </c>
    </row>
    <row r="112" spans="1:18" x14ac:dyDescent="0.25">
      <c r="B112" s="3" t="s">
        <v>292</v>
      </c>
      <c r="C112" t="s">
        <v>128</v>
      </c>
      <c r="D112" t="s">
        <v>129</v>
      </c>
      <c r="E112" t="s">
        <v>21</v>
      </c>
      <c r="F112" t="s">
        <v>1</v>
      </c>
      <c r="G112" t="s">
        <v>130</v>
      </c>
      <c r="H112" t="s">
        <v>204</v>
      </c>
      <c r="I112" t="s">
        <v>37</v>
      </c>
      <c r="J112" t="s">
        <v>3</v>
      </c>
      <c r="K112" s="3" t="str">
        <f t="shared" si="3"/>
        <v>4</v>
      </c>
      <c r="L112">
        <v>32</v>
      </c>
      <c r="M112" t="s">
        <v>140</v>
      </c>
      <c r="N112" s="1">
        <v>45552</v>
      </c>
      <c r="O112" t="s">
        <v>234</v>
      </c>
      <c r="P112" t="str">
        <f t="shared" si="2"/>
        <v>"hf.co/bartowski/Qwen2.5-32B-Instruct-GGUF:Q4_K_S", # 18.78 GB</v>
      </c>
      <c r="R112">
        <v>1</v>
      </c>
    </row>
    <row r="113" spans="1:18" x14ac:dyDescent="0.25">
      <c r="B113" s="3" t="s">
        <v>292</v>
      </c>
      <c r="C113" t="s">
        <v>128</v>
      </c>
      <c r="D113" t="s">
        <v>129</v>
      </c>
      <c r="E113" t="s">
        <v>21</v>
      </c>
      <c r="F113" t="s">
        <v>1</v>
      </c>
      <c r="G113" t="s">
        <v>130</v>
      </c>
      <c r="H113" t="s">
        <v>204</v>
      </c>
      <c r="I113" t="s">
        <v>102</v>
      </c>
      <c r="J113" t="s">
        <v>3</v>
      </c>
      <c r="K113" s="3" t="str">
        <f t="shared" si="3"/>
        <v>4</v>
      </c>
      <c r="L113">
        <v>32</v>
      </c>
      <c r="M113" t="s">
        <v>141</v>
      </c>
      <c r="N113" s="1">
        <v>45552</v>
      </c>
      <c r="O113" t="s">
        <v>234</v>
      </c>
      <c r="P113" t="str">
        <f t="shared" si="2"/>
        <v>"hf.co/bartowski/Qwen2.5-32B-Instruct-GGUF:Q4_0", # 18.71 GB</v>
      </c>
      <c r="R113">
        <v>1</v>
      </c>
    </row>
    <row r="114" spans="1:18" x14ac:dyDescent="0.25">
      <c r="B114" s="3" t="s">
        <v>292</v>
      </c>
      <c r="C114" t="s">
        <v>128</v>
      </c>
      <c r="D114" t="s">
        <v>129</v>
      </c>
      <c r="E114" t="s">
        <v>21</v>
      </c>
      <c r="F114" t="s">
        <v>1</v>
      </c>
      <c r="G114" t="s">
        <v>130</v>
      </c>
      <c r="H114" t="s">
        <v>204</v>
      </c>
      <c r="I114" t="s">
        <v>98</v>
      </c>
      <c r="J114" t="s">
        <v>3</v>
      </c>
      <c r="K114" s="3" t="str">
        <f t="shared" si="3"/>
        <v>4</v>
      </c>
      <c r="L114">
        <v>32</v>
      </c>
      <c r="M114" t="s">
        <v>142</v>
      </c>
      <c r="N114" s="1">
        <v>45552</v>
      </c>
      <c r="O114" t="s">
        <v>234</v>
      </c>
      <c r="P114" t="str">
        <f t="shared" si="2"/>
        <v>"hf.co/bartowski/Qwen2.5-32B-Instruct-GGUF:Q4_0_8_8", # 18.64 GB</v>
      </c>
      <c r="R114">
        <v>1</v>
      </c>
    </row>
    <row r="115" spans="1:18" x14ac:dyDescent="0.25">
      <c r="B115" s="3" t="s">
        <v>292</v>
      </c>
      <c r="C115" t="s">
        <v>128</v>
      </c>
      <c r="D115" t="s">
        <v>129</v>
      </c>
      <c r="E115" t="s">
        <v>21</v>
      </c>
      <c r="F115" t="s">
        <v>1</v>
      </c>
      <c r="G115" t="s">
        <v>130</v>
      </c>
      <c r="H115" t="s">
        <v>204</v>
      </c>
      <c r="I115" t="s">
        <v>100</v>
      </c>
      <c r="J115" t="s">
        <v>3</v>
      </c>
      <c r="K115" s="3" t="str">
        <f t="shared" si="3"/>
        <v>4</v>
      </c>
      <c r="L115">
        <v>32</v>
      </c>
      <c r="M115" t="s">
        <v>142</v>
      </c>
      <c r="N115" s="1">
        <v>45552</v>
      </c>
      <c r="O115" t="s">
        <v>234</v>
      </c>
      <c r="P115" t="str">
        <f t="shared" si="2"/>
        <v>"hf.co/bartowski/Qwen2.5-32B-Instruct-GGUF:Q4_0_4_8", # 18.64 GB</v>
      </c>
      <c r="R115">
        <v>1</v>
      </c>
    </row>
    <row r="116" spans="1:18" x14ac:dyDescent="0.25">
      <c r="B116" s="3" t="s">
        <v>292</v>
      </c>
      <c r="C116" t="s">
        <v>128</v>
      </c>
      <c r="D116" t="s">
        <v>129</v>
      </c>
      <c r="E116" t="s">
        <v>21</v>
      </c>
      <c r="F116" t="s">
        <v>1</v>
      </c>
      <c r="G116" t="s">
        <v>130</v>
      </c>
      <c r="H116" t="s">
        <v>204</v>
      </c>
      <c r="I116" t="s">
        <v>101</v>
      </c>
      <c r="J116" t="s">
        <v>3</v>
      </c>
      <c r="K116" s="3" t="str">
        <f t="shared" si="3"/>
        <v>4</v>
      </c>
      <c r="L116">
        <v>32</v>
      </c>
      <c r="M116" t="s">
        <v>142</v>
      </c>
      <c r="N116" s="1">
        <v>45552</v>
      </c>
      <c r="O116" t="s">
        <v>234</v>
      </c>
      <c r="P116" t="str">
        <f t="shared" si="2"/>
        <v>"hf.co/bartowski/Qwen2.5-32B-Instruct-GGUF:Q4_0_4_4", # 18.64 GB</v>
      </c>
      <c r="R116">
        <v>1</v>
      </c>
    </row>
    <row r="117" spans="1:18" x14ac:dyDescent="0.25">
      <c r="B117" s="3" t="s">
        <v>292</v>
      </c>
      <c r="C117" t="s">
        <v>128</v>
      </c>
      <c r="D117" t="s">
        <v>129</v>
      </c>
      <c r="E117" t="s">
        <v>21</v>
      </c>
      <c r="F117" t="s">
        <v>1</v>
      </c>
      <c r="G117" t="s">
        <v>130</v>
      </c>
      <c r="H117" t="s">
        <v>204</v>
      </c>
      <c r="I117" t="s">
        <v>39</v>
      </c>
      <c r="J117" t="s">
        <v>43</v>
      </c>
      <c r="K117" s="3" t="str">
        <f t="shared" si="3"/>
        <v>3</v>
      </c>
      <c r="L117">
        <v>32</v>
      </c>
      <c r="M117" t="s">
        <v>143</v>
      </c>
      <c r="N117" s="1">
        <v>45552</v>
      </c>
      <c r="O117" t="s">
        <v>234</v>
      </c>
      <c r="P117" t="str">
        <f t="shared" si="2"/>
        <v>"hf.co/bartowski/Qwen2.5-32B-Instruct-GGUF:Q3_K_XL", # 17.93 GB</v>
      </c>
      <c r="R117">
        <v>1</v>
      </c>
    </row>
    <row r="118" spans="1:18" x14ac:dyDescent="0.25">
      <c r="B118" s="3" t="s">
        <v>292</v>
      </c>
      <c r="C118" t="s">
        <v>128</v>
      </c>
      <c r="D118" t="s">
        <v>129</v>
      </c>
      <c r="E118" t="s">
        <v>21</v>
      </c>
      <c r="F118" t="s">
        <v>1</v>
      </c>
      <c r="G118" t="s">
        <v>130</v>
      </c>
      <c r="H118" t="s">
        <v>204</v>
      </c>
      <c r="I118" t="s">
        <v>59</v>
      </c>
      <c r="J118" t="s">
        <v>3</v>
      </c>
      <c r="K118" s="3" t="str">
        <f t="shared" si="3"/>
        <v>4</v>
      </c>
      <c r="L118">
        <v>32</v>
      </c>
      <c r="M118" t="s">
        <v>144</v>
      </c>
      <c r="N118" s="1">
        <v>45552</v>
      </c>
      <c r="O118" t="s">
        <v>234</v>
      </c>
      <c r="P118" t="str">
        <f t="shared" si="2"/>
        <v>"hf.co/bartowski/Qwen2.5-32B-Instruct-GGUF:IQ4_XS", # 17.69 GB</v>
      </c>
      <c r="R118">
        <v>1</v>
      </c>
    </row>
    <row r="119" spans="1:18" x14ac:dyDescent="0.25">
      <c r="B119" s="3" t="s">
        <v>292</v>
      </c>
      <c r="C119" t="s">
        <v>128</v>
      </c>
      <c r="D119" t="s">
        <v>129</v>
      </c>
      <c r="E119" t="s">
        <v>21</v>
      </c>
      <c r="F119" t="s">
        <v>1</v>
      </c>
      <c r="G119" t="s">
        <v>130</v>
      </c>
      <c r="H119" t="s">
        <v>204</v>
      </c>
      <c r="I119" t="s">
        <v>61</v>
      </c>
      <c r="J119" t="s">
        <v>43</v>
      </c>
      <c r="K119" s="3" t="str">
        <f t="shared" si="3"/>
        <v>3</v>
      </c>
      <c r="L119">
        <v>32</v>
      </c>
      <c r="M119" t="s">
        <v>145</v>
      </c>
      <c r="N119" s="1">
        <v>45552</v>
      </c>
      <c r="O119" t="s">
        <v>234</v>
      </c>
      <c r="P119" t="str">
        <f t="shared" si="2"/>
        <v>"hf.co/bartowski/Qwen2.5-32B-Instruct-GGUF:Q3_K_L", # 17.25 GB</v>
      </c>
      <c r="R119">
        <v>1</v>
      </c>
    </row>
    <row r="120" spans="1:18" x14ac:dyDescent="0.25">
      <c r="B120" s="3" t="s">
        <v>292</v>
      </c>
      <c r="C120" t="s">
        <v>128</v>
      </c>
      <c r="D120" t="s">
        <v>129</v>
      </c>
      <c r="E120" t="s">
        <v>21</v>
      </c>
      <c r="F120" t="s">
        <v>1</v>
      </c>
      <c r="G120" t="s">
        <v>130</v>
      </c>
      <c r="H120" t="s">
        <v>204</v>
      </c>
      <c r="I120" t="s">
        <v>63</v>
      </c>
      <c r="J120" t="s">
        <v>43</v>
      </c>
      <c r="K120" s="3" t="str">
        <f t="shared" si="3"/>
        <v>3</v>
      </c>
      <c r="L120">
        <v>32</v>
      </c>
      <c r="M120" t="s">
        <v>146</v>
      </c>
      <c r="N120" s="1">
        <v>45552</v>
      </c>
      <c r="O120" t="s">
        <v>234</v>
      </c>
      <c r="P120" t="str">
        <f t="shared" si="2"/>
        <v>"hf.co/bartowski/Qwen2.5-32B-Instruct-GGUF:Q3_K_M", # 15.94 GB</v>
      </c>
      <c r="R120">
        <v>1</v>
      </c>
    </row>
    <row r="121" spans="1:18" x14ac:dyDescent="0.25">
      <c r="B121" s="3" t="s">
        <v>292</v>
      </c>
      <c r="C121" t="s">
        <v>128</v>
      </c>
      <c r="D121" t="s">
        <v>129</v>
      </c>
      <c r="E121" t="s">
        <v>21</v>
      </c>
      <c r="F121" t="s">
        <v>1</v>
      </c>
      <c r="G121" t="s">
        <v>130</v>
      </c>
      <c r="H121" t="s">
        <v>204</v>
      </c>
      <c r="I121" t="s">
        <v>65</v>
      </c>
      <c r="J121" t="s">
        <v>43</v>
      </c>
      <c r="K121" s="3" t="str">
        <f t="shared" si="3"/>
        <v>3</v>
      </c>
      <c r="L121">
        <v>32</v>
      </c>
      <c r="M121" t="s">
        <v>147</v>
      </c>
      <c r="N121" s="1">
        <v>45552</v>
      </c>
      <c r="O121" t="s">
        <v>234</v>
      </c>
      <c r="P121" t="str">
        <f t="shared" si="2"/>
        <v>"hf.co/bartowski/Qwen2.5-32B-Instruct-GGUF:IQ3_M", # 14.81 GB</v>
      </c>
      <c r="R121">
        <v>1</v>
      </c>
    </row>
    <row r="122" spans="1:18" x14ac:dyDescent="0.25">
      <c r="B122" s="3" t="s">
        <v>292</v>
      </c>
      <c r="C122" t="s">
        <v>128</v>
      </c>
      <c r="D122" t="s">
        <v>129</v>
      </c>
      <c r="E122" t="s">
        <v>21</v>
      </c>
      <c r="F122" t="s">
        <v>1</v>
      </c>
      <c r="G122" t="s">
        <v>130</v>
      </c>
      <c r="H122" t="s">
        <v>204</v>
      </c>
      <c r="I122" t="s">
        <v>67</v>
      </c>
      <c r="J122" t="s">
        <v>43</v>
      </c>
      <c r="K122" s="3" t="str">
        <f t="shared" si="3"/>
        <v>3</v>
      </c>
      <c r="L122">
        <v>32</v>
      </c>
      <c r="M122" t="s">
        <v>148</v>
      </c>
      <c r="N122" s="1">
        <v>45552</v>
      </c>
      <c r="O122" t="s">
        <v>234</v>
      </c>
      <c r="P122" t="str">
        <f t="shared" si="2"/>
        <v>"hf.co/bartowski/Qwen2.5-32B-Instruct-GGUF:Q3_K_S", # 14.39 GB</v>
      </c>
      <c r="R122">
        <v>1</v>
      </c>
    </row>
    <row r="123" spans="1:18" x14ac:dyDescent="0.25">
      <c r="B123" s="3" t="s">
        <v>292</v>
      </c>
      <c r="C123" t="s">
        <v>128</v>
      </c>
      <c r="D123" t="s">
        <v>129</v>
      </c>
      <c r="E123" t="s">
        <v>21</v>
      </c>
      <c r="F123" t="s">
        <v>1</v>
      </c>
      <c r="G123" t="s">
        <v>130</v>
      </c>
      <c r="H123" t="s">
        <v>204</v>
      </c>
      <c r="I123" t="s">
        <v>69</v>
      </c>
      <c r="J123" t="s">
        <v>43</v>
      </c>
      <c r="K123" s="3" t="str">
        <f t="shared" si="3"/>
        <v>3</v>
      </c>
      <c r="L123">
        <v>32</v>
      </c>
      <c r="M123" t="s">
        <v>149</v>
      </c>
      <c r="N123" s="1">
        <v>45552</v>
      </c>
      <c r="O123" t="s">
        <v>234</v>
      </c>
      <c r="P123" t="str">
        <f t="shared" si="2"/>
        <v>"hf.co/bartowski/Qwen2.5-32B-Instruct-GGUF:IQ3_XS", # 13.71 GB</v>
      </c>
      <c r="R123">
        <v>1</v>
      </c>
    </row>
    <row r="124" spans="1:18" x14ac:dyDescent="0.25">
      <c r="A124" s="2" t="s">
        <v>11</v>
      </c>
      <c r="B124" s="3" t="s">
        <v>292</v>
      </c>
      <c r="C124" t="s">
        <v>128</v>
      </c>
      <c r="D124" t="s">
        <v>129</v>
      </c>
      <c r="E124" t="s">
        <v>21</v>
      </c>
      <c r="F124" t="s">
        <v>1</v>
      </c>
      <c r="G124" t="s">
        <v>130</v>
      </c>
      <c r="H124" t="s">
        <v>204</v>
      </c>
      <c r="I124" t="s">
        <v>71</v>
      </c>
      <c r="J124" t="s">
        <v>114</v>
      </c>
      <c r="K124" s="3" t="str">
        <f t="shared" si="3"/>
        <v>2</v>
      </c>
      <c r="L124">
        <v>32</v>
      </c>
      <c r="M124" t="s">
        <v>150</v>
      </c>
      <c r="N124" s="1">
        <v>45552</v>
      </c>
      <c r="O124" t="s">
        <v>234</v>
      </c>
      <c r="P124" t="str">
        <f t="shared" si="2"/>
        <v>"hf.co/bartowski/Qwen2.5-32B-Instruct-GGUF:Q2_K_L", # 13.07 GB</v>
      </c>
      <c r="R124">
        <v>1</v>
      </c>
    </row>
    <row r="125" spans="1:18" x14ac:dyDescent="0.25">
      <c r="B125" s="3" t="s">
        <v>292</v>
      </c>
      <c r="C125" t="s">
        <v>128</v>
      </c>
      <c r="D125" t="s">
        <v>129</v>
      </c>
      <c r="E125" t="s">
        <v>21</v>
      </c>
      <c r="F125" t="s">
        <v>1</v>
      </c>
      <c r="G125" t="s">
        <v>130</v>
      </c>
      <c r="H125" t="s">
        <v>204</v>
      </c>
      <c r="I125" t="s">
        <v>73</v>
      </c>
      <c r="J125" t="s">
        <v>114</v>
      </c>
      <c r="K125" s="3" t="str">
        <f t="shared" si="3"/>
        <v>2</v>
      </c>
      <c r="L125">
        <v>32</v>
      </c>
      <c r="M125" t="s">
        <v>151</v>
      </c>
      <c r="N125" s="1">
        <v>45552</v>
      </c>
      <c r="O125" t="s">
        <v>234</v>
      </c>
      <c r="P125" t="str">
        <f t="shared" si="2"/>
        <v>"hf.co/bartowski/Qwen2.5-32B-Instruct-GGUF:Q2_K", # 12.31 GB</v>
      </c>
      <c r="R125">
        <v>1</v>
      </c>
    </row>
    <row r="126" spans="1:18" x14ac:dyDescent="0.25">
      <c r="B126" s="3" t="s">
        <v>292</v>
      </c>
      <c r="C126" t="s">
        <v>128</v>
      </c>
      <c r="D126" t="s">
        <v>129</v>
      </c>
      <c r="E126" t="s">
        <v>21</v>
      </c>
      <c r="F126" t="s">
        <v>1</v>
      </c>
      <c r="G126" t="s">
        <v>130</v>
      </c>
      <c r="H126" t="s">
        <v>204</v>
      </c>
      <c r="I126" t="s">
        <v>75</v>
      </c>
      <c r="J126" t="s">
        <v>114</v>
      </c>
      <c r="K126" s="3" t="str">
        <f t="shared" si="3"/>
        <v>2</v>
      </c>
      <c r="L126">
        <v>32</v>
      </c>
      <c r="M126" t="s">
        <v>152</v>
      </c>
      <c r="N126" s="1">
        <v>45552</v>
      </c>
      <c r="O126" t="s">
        <v>234</v>
      </c>
      <c r="P126" t="str">
        <f t="shared" si="2"/>
        <v>"hf.co/bartowski/Qwen2.5-32B-Instruct-GGUF:IQ2_M", # 11.26 GB</v>
      </c>
      <c r="R126">
        <v>1</v>
      </c>
    </row>
    <row r="127" spans="1:18" x14ac:dyDescent="0.25">
      <c r="B127" s="3" t="s">
        <v>292</v>
      </c>
      <c r="C127" t="s">
        <v>128</v>
      </c>
      <c r="D127" t="s">
        <v>129</v>
      </c>
      <c r="E127" t="s">
        <v>21</v>
      </c>
      <c r="F127" t="s">
        <v>1</v>
      </c>
      <c r="G127" t="s">
        <v>130</v>
      </c>
      <c r="H127" t="s">
        <v>204</v>
      </c>
      <c r="I127" t="s">
        <v>77</v>
      </c>
      <c r="J127" t="s">
        <v>114</v>
      </c>
      <c r="K127" s="3" t="str">
        <f t="shared" si="3"/>
        <v>2</v>
      </c>
      <c r="L127">
        <v>32</v>
      </c>
      <c r="M127" t="s">
        <v>153</v>
      </c>
      <c r="N127" s="1">
        <v>45552</v>
      </c>
      <c r="O127" t="s">
        <v>234</v>
      </c>
      <c r="P127" t="str">
        <f t="shared" si="2"/>
        <v>"hf.co/bartowski/Qwen2.5-32B-Instruct-GGUF:IQ2_S", # 10.39 GB</v>
      </c>
      <c r="R127">
        <v>1</v>
      </c>
    </row>
    <row r="128" spans="1:18" x14ac:dyDescent="0.25">
      <c r="B128" s="3" t="s">
        <v>292</v>
      </c>
      <c r="C128" t="s">
        <v>128</v>
      </c>
      <c r="D128" t="s">
        <v>129</v>
      </c>
      <c r="E128" t="s">
        <v>21</v>
      </c>
      <c r="F128" t="s">
        <v>1</v>
      </c>
      <c r="G128" t="s">
        <v>130</v>
      </c>
      <c r="H128" t="s">
        <v>204</v>
      </c>
      <c r="I128" t="s">
        <v>79</v>
      </c>
      <c r="J128" t="s">
        <v>114</v>
      </c>
      <c r="K128" s="3" t="str">
        <f t="shared" si="3"/>
        <v>2</v>
      </c>
      <c r="L128">
        <v>32</v>
      </c>
      <c r="M128" t="s">
        <v>154</v>
      </c>
      <c r="N128" s="1">
        <v>45552</v>
      </c>
      <c r="O128" t="s">
        <v>234</v>
      </c>
      <c r="P128" t="str">
        <f t="shared" si="2"/>
        <v>"hf.co/bartowski/Qwen2.5-32B-Instruct-GGUF:IQ2_XS", # 9.96 GB</v>
      </c>
      <c r="R128">
        <v>1</v>
      </c>
    </row>
    <row r="129" spans="1:18" x14ac:dyDescent="0.25">
      <c r="B129" s="3" t="s">
        <v>292</v>
      </c>
      <c r="C129" t="s">
        <v>128</v>
      </c>
      <c r="D129" t="s">
        <v>129</v>
      </c>
      <c r="E129" t="s">
        <v>21</v>
      </c>
      <c r="F129" t="s">
        <v>1</v>
      </c>
      <c r="G129" t="s">
        <v>130</v>
      </c>
      <c r="H129" t="s">
        <v>204</v>
      </c>
      <c r="I129" t="s">
        <v>81</v>
      </c>
      <c r="J129" t="s">
        <v>114</v>
      </c>
      <c r="K129" s="3" t="str">
        <f t="shared" si="3"/>
        <v>2</v>
      </c>
      <c r="L129">
        <v>32</v>
      </c>
      <c r="M129" t="s">
        <v>155</v>
      </c>
      <c r="N129" s="1">
        <v>45552</v>
      </c>
      <c r="O129" t="s">
        <v>234</v>
      </c>
      <c r="P129" t="str">
        <f t="shared" si="2"/>
        <v>"hf.co/bartowski/Qwen2.5-32B-Instruct-GGUF:IQ2_XXS", # 9.03 GB</v>
      </c>
      <c r="R129">
        <v>1</v>
      </c>
    </row>
    <row r="130" spans="1:18" x14ac:dyDescent="0.25">
      <c r="A130" s="2" t="s">
        <v>11</v>
      </c>
      <c r="C130" t="s">
        <v>17</v>
      </c>
      <c r="D130" t="s">
        <v>156</v>
      </c>
      <c r="E130" t="s">
        <v>21</v>
      </c>
      <c r="F130" t="s">
        <v>1</v>
      </c>
      <c r="G130" t="s">
        <v>157</v>
      </c>
      <c r="H130" t="s">
        <v>203</v>
      </c>
      <c r="I130" t="s">
        <v>23</v>
      </c>
      <c r="J130" t="s">
        <v>4</v>
      </c>
      <c r="K130" s="3" t="str">
        <f t="shared" si="3"/>
        <v>8</v>
      </c>
      <c r="L130">
        <v>2407</v>
      </c>
      <c r="M130" t="s">
        <v>158</v>
      </c>
      <c r="N130" s="1">
        <v>45497</v>
      </c>
      <c r="O130" t="s">
        <v>234</v>
      </c>
      <c r="P130" t="str">
        <f t="shared" si="2"/>
        <v>"hf.co/bartowski/Mistral-Large-Instruct-2407-GGUF:Q8_0", # 130.28 GB</v>
      </c>
      <c r="Q130">
        <v>3</v>
      </c>
    </row>
    <row r="131" spans="1:18" x14ac:dyDescent="0.25">
      <c r="C131" t="s">
        <v>17</v>
      </c>
      <c r="D131" t="s">
        <v>156</v>
      </c>
      <c r="E131" t="s">
        <v>21</v>
      </c>
      <c r="F131" t="s">
        <v>1</v>
      </c>
      <c r="G131" t="s">
        <v>157</v>
      </c>
      <c r="H131" t="s">
        <v>203</v>
      </c>
      <c r="I131" t="s">
        <v>27</v>
      </c>
      <c r="J131" t="s">
        <v>41</v>
      </c>
      <c r="K131" s="3" t="str">
        <f t="shared" si="3"/>
        <v>6</v>
      </c>
      <c r="L131">
        <v>2407</v>
      </c>
      <c r="M131" t="s">
        <v>159</v>
      </c>
      <c r="N131" s="1">
        <v>45497</v>
      </c>
      <c r="O131" t="s">
        <v>234</v>
      </c>
      <c r="P131" t="str">
        <f t="shared" ref="P131:P194" si="4">CONCATENATE("""hf.co/", G131, ":", I131, """", ",", " # ", M131)</f>
        <v>"hf.co/bartowski/Mistral-Large-Instruct-2407-GGUF:Q6_K", # 100.59 GB</v>
      </c>
      <c r="Q131">
        <v>3</v>
      </c>
    </row>
    <row r="132" spans="1:18" x14ac:dyDescent="0.25">
      <c r="C132" t="s">
        <v>17</v>
      </c>
      <c r="D132" t="s">
        <v>156</v>
      </c>
      <c r="E132" t="s">
        <v>21</v>
      </c>
      <c r="F132" t="s">
        <v>1</v>
      </c>
      <c r="G132" t="s">
        <v>157</v>
      </c>
      <c r="H132" t="s">
        <v>203</v>
      </c>
      <c r="I132" t="s">
        <v>30</v>
      </c>
      <c r="J132" t="s">
        <v>42</v>
      </c>
      <c r="K132" s="3" t="str">
        <f t="shared" ref="K132:K195" si="5">LEFT(J132, FIND("-", J132) - 1)</f>
        <v>5</v>
      </c>
      <c r="L132">
        <v>2407</v>
      </c>
      <c r="M132" t="s">
        <v>160</v>
      </c>
      <c r="N132" s="1">
        <v>45497</v>
      </c>
      <c r="O132" t="s">
        <v>234</v>
      </c>
      <c r="P132" t="str">
        <f t="shared" si="4"/>
        <v>"hf.co/bartowski/Mistral-Large-Instruct-2407-GGUF:Q5_K_M", # 86.49 GB</v>
      </c>
      <c r="Q132">
        <v>3</v>
      </c>
    </row>
    <row r="133" spans="1:18" x14ac:dyDescent="0.25">
      <c r="A133" s="2" t="s">
        <v>11</v>
      </c>
      <c r="C133" t="s">
        <v>17</v>
      </c>
      <c r="D133" t="s">
        <v>156</v>
      </c>
      <c r="E133" t="s">
        <v>21</v>
      </c>
      <c r="F133" t="s">
        <v>1</v>
      </c>
      <c r="G133" t="s">
        <v>157</v>
      </c>
      <c r="H133" t="s">
        <v>203</v>
      </c>
      <c r="I133" t="s">
        <v>35</v>
      </c>
      <c r="J133" t="s">
        <v>3</v>
      </c>
      <c r="K133" s="3" t="str">
        <f t="shared" si="5"/>
        <v>4</v>
      </c>
      <c r="L133">
        <v>2407</v>
      </c>
      <c r="M133" t="s">
        <v>161</v>
      </c>
      <c r="N133" s="1">
        <v>45497</v>
      </c>
      <c r="O133" t="s">
        <v>234</v>
      </c>
      <c r="P133" t="str">
        <f t="shared" si="4"/>
        <v>"hf.co/bartowski/Mistral-Large-Instruct-2407-GGUF:Q4_K_M", # 73.22 GB</v>
      </c>
      <c r="Q133">
        <v>3</v>
      </c>
    </row>
    <row r="134" spans="1:18" x14ac:dyDescent="0.25">
      <c r="C134" t="s">
        <v>17</v>
      </c>
      <c r="D134" t="s">
        <v>156</v>
      </c>
      <c r="E134" t="s">
        <v>21</v>
      </c>
      <c r="F134" t="s">
        <v>1</v>
      </c>
      <c r="G134" t="s">
        <v>157</v>
      </c>
      <c r="H134" t="s">
        <v>203</v>
      </c>
      <c r="I134" t="s">
        <v>37</v>
      </c>
      <c r="J134" t="s">
        <v>3</v>
      </c>
      <c r="K134" s="3" t="str">
        <f t="shared" si="5"/>
        <v>4</v>
      </c>
      <c r="L134">
        <v>2407</v>
      </c>
      <c r="M134" t="s">
        <v>162</v>
      </c>
      <c r="N134" s="1">
        <v>45497</v>
      </c>
      <c r="O134" t="s">
        <v>234</v>
      </c>
      <c r="P134" t="str">
        <f t="shared" si="4"/>
        <v>"hf.co/bartowski/Mistral-Large-Instruct-2407-GGUF:Q4_K_S", # 69.57 GB</v>
      </c>
      <c r="Q134">
        <v>3</v>
      </c>
    </row>
    <row r="135" spans="1:18" x14ac:dyDescent="0.25">
      <c r="C135" t="s">
        <v>17</v>
      </c>
      <c r="D135" t="s">
        <v>156</v>
      </c>
      <c r="E135" t="s">
        <v>21</v>
      </c>
      <c r="F135" t="s">
        <v>1</v>
      </c>
      <c r="G135" t="s">
        <v>157</v>
      </c>
      <c r="H135" t="s">
        <v>203</v>
      </c>
      <c r="I135" t="s">
        <v>102</v>
      </c>
      <c r="J135" t="s">
        <v>3</v>
      </c>
      <c r="K135" s="3" t="str">
        <f t="shared" si="5"/>
        <v>4</v>
      </c>
      <c r="L135">
        <v>2407</v>
      </c>
      <c r="M135" t="s">
        <v>163</v>
      </c>
      <c r="N135" s="1">
        <v>45497</v>
      </c>
      <c r="O135" t="s">
        <v>234</v>
      </c>
      <c r="P135" t="str">
        <f t="shared" si="4"/>
        <v>"hf.co/bartowski/Mistral-Large-Instruct-2407-GGUF:Q4_0", # 69.32 GB</v>
      </c>
      <c r="Q135">
        <v>3</v>
      </c>
    </row>
    <row r="136" spans="1:18" x14ac:dyDescent="0.25">
      <c r="C136" t="s">
        <v>17</v>
      </c>
      <c r="D136" t="s">
        <v>156</v>
      </c>
      <c r="E136" t="s">
        <v>21</v>
      </c>
      <c r="F136" t="s">
        <v>1</v>
      </c>
      <c r="G136" t="s">
        <v>157</v>
      </c>
      <c r="H136" t="s">
        <v>203</v>
      </c>
      <c r="I136" t="s">
        <v>101</v>
      </c>
      <c r="J136" t="s">
        <v>3</v>
      </c>
      <c r="K136" s="3" t="str">
        <f t="shared" si="5"/>
        <v>4</v>
      </c>
      <c r="L136">
        <v>2407</v>
      </c>
      <c r="M136" t="s">
        <v>164</v>
      </c>
      <c r="N136" s="1">
        <v>45497</v>
      </c>
      <c r="O136" t="s">
        <v>234</v>
      </c>
      <c r="P136" t="str">
        <f t="shared" si="4"/>
        <v>"hf.co/bartowski/Mistral-Large-Instruct-2407-GGUF:Q4_0_4_4", # 69.08 GB</v>
      </c>
      <c r="Q136">
        <v>3</v>
      </c>
    </row>
    <row r="137" spans="1:18" x14ac:dyDescent="0.25">
      <c r="C137" t="s">
        <v>17</v>
      </c>
      <c r="D137" t="s">
        <v>156</v>
      </c>
      <c r="E137" t="s">
        <v>21</v>
      </c>
      <c r="F137" t="s">
        <v>1</v>
      </c>
      <c r="G137" t="s">
        <v>157</v>
      </c>
      <c r="H137" t="s">
        <v>203</v>
      </c>
      <c r="I137" t="s">
        <v>59</v>
      </c>
      <c r="J137" t="s">
        <v>3</v>
      </c>
      <c r="K137" s="3" t="str">
        <f t="shared" si="5"/>
        <v>4</v>
      </c>
      <c r="L137">
        <v>2407</v>
      </c>
      <c r="M137" t="s">
        <v>165</v>
      </c>
      <c r="N137" s="1">
        <v>45497</v>
      </c>
      <c r="O137" t="s">
        <v>234</v>
      </c>
      <c r="P137" t="str">
        <f t="shared" si="4"/>
        <v>"hf.co/bartowski/Mistral-Large-Instruct-2407-GGUF:IQ4_XS", # 65.43 GB</v>
      </c>
      <c r="Q137">
        <v>2</v>
      </c>
    </row>
    <row r="138" spans="1:18" x14ac:dyDescent="0.25">
      <c r="C138" t="s">
        <v>17</v>
      </c>
      <c r="D138" t="s">
        <v>156</v>
      </c>
      <c r="E138" t="s">
        <v>21</v>
      </c>
      <c r="F138" t="s">
        <v>1</v>
      </c>
      <c r="G138" t="s">
        <v>157</v>
      </c>
      <c r="H138" t="s">
        <v>203</v>
      </c>
      <c r="I138" t="s">
        <v>39</v>
      </c>
      <c r="J138" t="s">
        <v>43</v>
      </c>
      <c r="K138" s="3" t="str">
        <f t="shared" si="5"/>
        <v>3</v>
      </c>
      <c r="L138">
        <v>2407</v>
      </c>
      <c r="M138" t="s">
        <v>166</v>
      </c>
      <c r="N138" s="1">
        <v>45497</v>
      </c>
      <c r="O138" t="s">
        <v>234</v>
      </c>
      <c r="P138" t="str">
        <f t="shared" si="4"/>
        <v>"hf.co/bartowski/Mistral-Large-Instruct-2407-GGUF:Q3_K_XL", # 64.91 GB</v>
      </c>
      <c r="Q138">
        <v>2</v>
      </c>
    </row>
    <row r="139" spans="1:18" x14ac:dyDescent="0.25">
      <c r="C139" t="s">
        <v>17</v>
      </c>
      <c r="D139" t="s">
        <v>156</v>
      </c>
      <c r="E139" t="s">
        <v>21</v>
      </c>
      <c r="F139" t="s">
        <v>1</v>
      </c>
      <c r="G139" t="s">
        <v>157</v>
      </c>
      <c r="H139" t="s">
        <v>203</v>
      </c>
      <c r="I139" t="s">
        <v>61</v>
      </c>
      <c r="J139" t="s">
        <v>43</v>
      </c>
      <c r="K139" s="3" t="str">
        <f t="shared" si="5"/>
        <v>3</v>
      </c>
      <c r="L139">
        <v>2407</v>
      </c>
      <c r="M139" t="s">
        <v>167</v>
      </c>
      <c r="N139" s="1">
        <v>45497</v>
      </c>
      <c r="O139" t="s">
        <v>234</v>
      </c>
      <c r="P139" t="str">
        <f t="shared" si="4"/>
        <v>"hf.co/bartowski/Mistral-Large-Instruct-2407-GGUF:Q3_K_L", # 64.55 GB</v>
      </c>
      <c r="Q139">
        <v>2</v>
      </c>
    </row>
    <row r="140" spans="1:18" x14ac:dyDescent="0.25">
      <c r="C140" t="s">
        <v>17</v>
      </c>
      <c r="D140" t="s">
        <v>156</v>
      </c>
      <c r="E140" t="s">
        <v>21</v>
      </c>
      <c r="F140" t="s">
        <v>1</v>
      </c>
      <c r="G140" t="s">
        <v>157</v>
      </c>
      <c r="H140" t="s">
        <v>203</v>
      </c>
      <c r="I140" t="s">
        <v>63</v>
      </c>
      <c r="J140" t="s">
        <v>43</v>
      </c>
      <c r="K140" s="3" t="str">
        <f t="shared" si="5"/>
        <v>3</v>
      </c>
      <c r="L140">
        <v>2407</v>
      </c>
      <c r="M140" t="s">
        <v>168</v>
      </c>
      <c r="N140" s="1">
        <v>45497</v>
      </c>
      <c r="O140" t="s">
        <v>234</v>
      </c>
      <c r="P140" t="str">
        <f t="shared" si="4"/>
        <v>"hf.co/bartowski/Mistral-Large-Instruct-2407-GGUF:Q3_K_M", # 59.10 GB</v>
      </c>
      <c r="Q140">
        <v>2</v>
      </c>
    </row>
    <row r="141" spans="1:18" x14ac:dyDescent="0.25">
      <c r="C141" t="s">
        <v>17</v>
      </c>
      <c r="D141" t="s">
        <v>156</v>
      </c>
      <c r="E141" t="s">
        <v>21</v>
      </c>
      <c r="F141" t="s">
        <v>1</v>
      </c>
      <c r="G141" t="s">
        <v>157</v>
      </c>
      <c r="H141" t="s">
        <v>203</v>
      </c>
      <c r="I141" t="s">
        <v>65</v>
      </c>
      <c r="J141" t="s">
        <v>43</v>
      </c>
      <c r="K141" s="3" t="str">
        <f t="shared" si="5"/>
        <v>3</v>
      </c>
      <c r="L141">
        <v>2407</v>
      </c>
      <c r="M141" t="s">
        <v>169</v>
      </c>
      <c r="N141" s="1">
        <v>45497</v>
      </c>
      <c r="O141" t="s">
        <v>234</v>
      </c>
      <c r="P141" t="str">
        <f t="shared" si="4"/>
        <v>"hf.co/bartowski/Mistral-Large-Instruct-2407-GGUF:IQ3_M", # 55.28 GB</v>
      </c>
      <c r="Q141">
        <v>2</v>
      </c>
    </row>
    <row r="142" spans="1:18" x14ac:dyDescent="0.25">
      <c r="C142" t="s">
        <v>17</v>
      </c>
      <c r="D142" t="s">
        <v>156</v>
      </c>
      <c r="E142" t="s">
        <v>21</v>
      </c>
      <c r="F142" t="s">
        <v>1</v>
      </c>
      <c r="G142" t="s">
        <v>157</v>
      </c>
      <c r="H142" t="s">
        <v>203</v>
      </c>
      <c r="I142" t="s">
        <v>67</v>
      </c>
      <c r="J142" t="s">
        <v>43</v>
      </c>
      <c r="K142" s="3" t="str">
        <f t="shared" si="5"/>
        <v>3</v>
      </c>
      <c r="L142">
        <v>2407</v>
      </c>
      <c r="M142" t="s">
        <v>170</v>
      </c>
      <c r="N142" s="1">
        <v>45497</v>
      </c>
      <c r="O142" t="s">
        <v>234</v>
      </c>
      <c r="P142" t="str">
        <f t="shared" si="4"/>
        <v>"hf.co/bartowski/Mistral-Large-Instruct-2407-GGUF:Q3_K_S", # 52.85 GB</v>
      </c>
      <c r="Q142">
        <v>2</v>
      </c>
    </row>
    <row r="143" spans="1:18" x14ac:dyDescent="0.25">
      <c r="C143" t="s">
        <v>17</v>
      </c>
      <c r="D143" t="s">
        <v>156</v>
      </c>
      <c r="E143" t="s">
        <v>21</v>
      </c>
      <c r="F143" t="s">
        <v>1</v>
      </c>
      <c r="G143" t="s">
        <v>157</v>
      </c>
      <c r="H143" t="s">
        <v>203</v>
      </c>
      <c r="I143" t="s">
        <v>125</v>
      </c>
      <c r="J143" t="s">
        <v>43</v>
      </c>
      <c r="K143" s="3" t="str">
        <f t="shared" si="5"/>
        <v>3</v>
      </c>
      <c r="L143">
        <v>2407</v>
      </c>
      <c r="M143" t="s">
        <v>171</v>
      </c>
      <c r="N143" s="1">
        <v>45497</v>
      </c>
      <c r="O143" t="s">
        <v>234</v>
      </c>
      <c r="P143" t="str">
        <f t="shared" si="4"/>
        <v>"hf.co/bartowski/Mistral-Large-Instruct-2407-GGUF:IQ3_XXS", # 47.01 GB</v>
      </c>
      <c r="Q143">
        <v>2</v>
      </c>
    </row>
    <row r="144" spans="1:18" x14ac:dyDescent="0.25">
      <c r="A144" s="2" t="s">
        <v>11</v>
      </c>
      <c r="C144" t="s">
        <v>17</v>
      </c>
      <c r="D144" t="s">
        <v>156</v>
      </c>
      <c r="E144" t="s">
        <v>21</v>
      </c>
      <c r="F144" t="s">
        <v>1</v>
      </c>
      <c r="G144" t="s">
        <v>157</v>
      </c>
      <c r="H144" t="s">
        <v>203</v>
      </c>
      <c r="I144" t="s">
        <v>71</v>
      </c>
      <c r="J144" t="s">
        <v>114</v>
      </c>
      <c r="K144" s="3" t="str">
        <f t="shared" si="5"/>
        <v>2</v>
      </c>
      <c r="L144">
        <v>2407</v>
      </c>
      <c r="M144" t="s">
        <v>172</v>
      </c>
      <c r="N144" s="1">
        <v>45497</v>
      </c>
      <c r="O144" t="s">
        <v>234</v>
      </c>
      <c r="P144" t="str">
        <f t="shared" si="4"/>
        <v>"hf.co/bartowski/Mistral-Large-Instruct-2407-GGUF:Q2_K_L", # 45.59 GB</v>
      </c>
      <c r="Q144">
        <v>2</v>
      </c>
    </row>
    <row r="145" spans="1:18" x14ac:dyDescent="0.25">
      <c r="C145" t="s">
        <v>17</v>
      </c>
      <c r="D145" t="s">
        <v>156</v>
      </c>
      <c r="E145" t="s">
        <v>21</v>
      </c>
      <c r="F145" t="s">
        <v>1</v>
      </c>
      <c r="G145" t="s">
        <v>157</v>
      </c>
      <c r="H145" t="s">
        <v>203</v>
      </c>
      <c r="I145" t="s">
        <v>73</v>
      </c>
      <c r="J145" t="s">
        <v>114</v>
      </c>
      <c r="K145" s="3" t="str">
        <f t="shared" si="5"/>
        <v>2</v>
      </c>
      <c r="L145">
        <v>2407</v>
      </c>
      <c r="M145" t="s">
        <v>173</v>
      </c>
      <c r="N145" s="1">
        <v>45497</v>
      </c>
      <c r="O145" t="s">
        <v>234</v>
      </c>
      <c r="P145" t="str">
        <f t="shared" si="4"/>
        <v>"hf.co/bartowski/Mistral-Large-Instruct-2407-GGUF:Q2_K", # 45.20 GB</v>
      </c>
      <c r="Q145">
        <v>2</v>
      </c>
    </row>
    <row r="146" spans="1:18" x14ac:dyDescent="0.25">
      <c r="C146" t="s">
        <v>17</v>
      </c>
      <c r="D146" t="s">
        <v>156</v>
      </c>
      <c r="E146" t="s">
        <v>21</v>
      </c>
      <c r="F146" t="s">
        <v>1</v>
      </c>
      <c r="G146" t="s">
        <v>157</v>
      </c>
      <c r="H146" t="s">
        <v>203</v>
      </c>
      <c r="I146" t="s">
        <v>75</v>
      </c>
      <c r="J146" t="s">
        <v>114</v>
      </c>
      <c r="K146" s="3" t="str">
        <f t="shared" si="5"/>
        <v>2</v>
      </c>
      <c r="L146">
        <v>2407</v>
      </c>
      <c r="M146" t="s">
        <v>174</v>
      </c>
      <c r="N146" s="1">
        <v>45497</v>
      </c>
      <c r="O146" t="s">
        <v>234</v>
      </c>
      <c r="P146" t="str">
        <f t="shared" si="4"/>
        <v>"hf.co/bartowski/Mistral-Large-Instruct-2407-GGUF:IQ2_M", # 41.62 GB</v>
      </c>
      <c r="Q146">
        <v>2</v>
      </c>
    </row>
    <row r="147" spans="1:18" x14ac:dyDescent="0.25">
      <c r="C147" t="s">
        <v>17</v>
      </c>
      <c r="D147" t="s">
        <v>156</v>
      </c>
      <c r="E147" t="s">
        <v>21</v>
      </c>
      <c r="F147" t="s">
        <v>1</v>
      </c>
      <c r="G147" t="s">
        <v>157</v>
      </c>
      <c r="H147" t="s">
        <v>203</v>
      </c>
      <c r="I147" t="s">
        <v>79</v>
      </c>
      <c r="J147" t="s">
        <v>114</v>
      </c>
      <c r="K147" s="3" t="str">
        <f t="shared" si="5"/>
        <v>2</v>
      </c>
      <c r="L147">
        <v>2407</v>
      </c>
      <c r="M147" t="s">
        <v>175</v>
      </c>
      <c r="N147" s="1">
        <v>45497</v>
      </c>
      <c r="O147" t="s">
        <v>234</v>
      </c>
      <c r="P147" t="str">
        <f t="shared" si="4"/>
        <v>"hf.co/bartowski/Mistral-Large-Instruct-2407-GGUF:IQ2_XS", # 36.08 GB</v>
      </c>
      <c r="Q147">
        <v>2</v>
      </c>
    </row>
    <row r="148" spans="1:18" x14ac:dyDescent="0.25">
      <c r="C148" t="s">
        <v>17</v>
      </c>
      <c r="D148" t="s">
        <v>156</v>
      </c>
      <c r="E148" t="s">
        <v>21</v>
      </c>
      <c r="F148" t="s">
        <v>1</v>
      </c>
      <c r="G148" t="s">
        <v>157</v>
      </c>
      <c r="H148" t="s">
        <v>203</v>
      </c>
      <c r="I148" t="s">
        <v>81</v>
      </c>
      <c r="J148" t="s">
        <v>114</v>
      </c>
      <c r="K148" s="3" t="str">
        <f t="shared" si="5"/>
        <v>2</v>
      </c>
      <c r="L148">
        <v>2407</v>
      </c>
      <c r="M148" t="s">
        <v>176</v>
      </c>
      <c r="N148" s="1">
        <v>45497</v>
      </c>
      <c r="O148" t="s">
        <v>234</v>
      </c>
      <c r="P148" t="str">
        <f t="shared" si="4"/>
        <v>"hf.co/bartowski/Mistral-Large-Instruct-2407-GGUF:IQ2_XXS", # 32.43 GB</v>
      </c>
      <c r="Q148">
        <v>2</v>
      </c>
    </row>
    <row r="149" spans="1:18" x14ac:dyDescent="0.25">
      <c r="C149" t="s">
        <v>17</v>
      </c>
      <c r="D149" t="s">
        <v>156</v>
      </c>
      <c r="E149" t="s">
        <v>21</v>
      </c>
      <c r="F149" t="s">
        <v>1</v>
      </c>
      <c r="G149" t="s">
        <v>157</v>
      </c>
      <c r="H149" t="s">
        <v>203</v>
      </c>
      <c r="I149" t="s">
        <v>83</v>
      </c>
      <c r="J149" t="s">
        <v>115</v>
      </c>
      <c r="K149" s="3" t="str">
        <f t="shared" si="5"/>
        <v>1</v>
      </c>
      <c r="L149">
        <v>2407</v>
      </c>
      <c r="M149" t="s">
        <v>177</v>
      </c>
      <c r="N149" s="1">
        <v>45497</v>
      </c>
      <c r="O149" t="s">
        <v>234</v>
      </c>
      <c r="P149" t="str">
        <f t="shared" si="4"/>
        <v>"hf.co/bartowski/Mistral-Large-Instruct-2407-GGUF:IQ1_M", # 28.39 GB</v>
      </c>
      <c r="Q149">
        <v>2</v>
      </c>
    </row>
    <row r="150" spans="1:18" x14ac:dyDescent="0.25">
      <c r="A150" s="2" t="s">
        <v>11</v>
      </c>
      <c r="B150" s="3" t="s">
        <v>294</v>
      </c>
      <c r="C150" t="s">
        <v>16</v>
      </c>
      <c r="D150" t="s">
        <v>178</v>
      </c>
      <c r="E150" t="s">
        <v>21</v>
      </c>
      <c r="F150" t="s">
        <v>1</v>
      </c>
      <c r="G150" t="s">
        <v>179</v>
      </c>
      <c r="H150" t="s">
        <v>205</v>
      </c>
      <c r="I150" t="s">
        <v>23</v>
      </c>
      <c r="J150" t="s">
        <v>4</v>
      </c>
      <c r="K150" s="3" t="str">
        <f t="shared" si="5"/>
        <v>8</v>
      </c>
      <c r="L150">
        <v>7.25</v>
      </c>
      <c r="M150" t="s">
        <v>180</v>
      </c>
      <c r="N150" s="1">
        <v>45434</v>
      </c>
      <c r="O150" t="s">
        <v>234</v>
      </c>
      <c r="P150" t="str">
        <f t="shared" si="4"/>
        <v>"hf.co/bartowski/Mistral-7B-Instruct-v0.3-GGUF:Q8_0", # 7.70 GB</v>
      </c>
      <c r="R150">
        <v>1</v>
      </c>
    </row>
    <row r="151" spans="1:18" x14ac:dyDescent="0.25">
      <c r="B151" s="3" t="s">
        <v>294</v>
      </c>
      <c r="C151" t="s">
        <v>16</v>
      </c>
      <c r="D151" t="s">
        <v>178</v>
      </c>
      <c r="E151" t="s">
        <v>21</v>
      </c>
      <c r="F151" t="s">
        <v>1</v>
      </c>
      <c r="G151" t="s">
        <v>179</v>
      </c>
      <c r="H151" t="s">
        <v>205</v>
      </c>
      <c r="I151" t="s">
        <v>27</v>
      </c>
      <c r="J151" t="s">
        <v>41</v>
      </c>
      <c r="K151" s="3" t="str">
        <f t="shared" si="5"/>
        <v>6</v>
      </c>
      <c r="L151">
        <v>7.25</v>
      </c>
      <c r="M151" t="s">
        <v>181</v>
      </c>
      <c r="N151" s="1">
        <v>45434</v>
      </c>
      <c r="O151" t="s">
        <v>234</v>
      </c>
      <c r="P151" t="str">
        <f t="shared" si="4"/>
        <v>"hf.co/bartowski/Mistral-7B-Instruct-v0.3-GGUF:Q6_K", # 5.94 GB</v>
      </c>
      <c r="R151">
        <v>1</v>
      </c>
    </row>
    <row r="152" spans="1:18" x14ac:dyDescent="0.25">
      <c r="B152" s="3" t="s">
        <v>294</v>
      </c>
      <c r="C152" t="s">
        <v>16</v>
      </c>
      <c r="D152" t="s">
        <v>178</v>
      </c>
      <c r="E152" t="s">
        <v>21</v>
      </c>
      <c r="F152" t="s">
        <v>1</v>
      </c>
      <c r="G152" t="s">
        <v>179</v>
      </c>
      <c r="H152" t="s">
        <v>205</v>
      </c>
      <c r="I152" t="s">
        <v>30</v>
      </c>
      <c r="J152" t="s">
        <v>42</v>
      </c>
      <c r="K152" s="3" t="str">
        <f t="shared" si="5"/>
        <v>5</v>
      </c>
      <c r="L152">
        <v>7.25</v>
      </c>
      <c r="M152" t="s">
        <v>182</v>
      </c>
      <c r="N152" s="1">
        <v>45434</v>
      </c>
      <c r="O152" t="s">
        <v>234</v>
      </c>
      <c r="P152" t="str">
        <f t="shared" si="4"/>
        <v>"hf.co/bartowski/Mistral-7B-Instruct-v0.3-GGUF:Q5_K_M", # 5.13 GB</v>
      </c>
      <c r="R152">
        <v>1</v>
      </c>
    </row>
    <row r="153" spans="1:18" x14ac:dyDescent="0.25">
      <c r="B153" s="3" t="s">
        <v>294</v>
      </c>
      <c r="C153" t="s">
        <v>16</v>
      </c>
      <c r="D153" t="s">
        <v>178</v>
      </c>
      <c r="E153" t="s">
        <v>21</v>
      </c>
      <c r="F153" t="s">
        <v>1</v>
      </c>
      <c r="G153" t="s">
        <v>179</v>
      </c>
      <c r="H153" t="s">
        <v>205</v>
      </c>
      <c r="I153" t="s">
        <v>32</v>
      </c>
      <c r="J153" t="s">
        <v>42</v>
      </c>
      <c r="K153" s="3" t="str">
        <f t="shared" si="5"/>
        <v>5</v>
      </c>
      <c r="L153">
        <v>7.25</v>
      </c>
      <c r="M153" t="s">
        <v>183</v>
      </c>
      <c r="N153" s="1">
        <v>45434</v>
      </c>
      <c r="O153" t="s">
        <v>234</v>
      </c>
      <c r="P153" t="str">
        <f t="shared" si="4"/>
        <v>"hf.co/bartowski/Mistral-7B-Instruct-v0.3-GGUF:Q5_K_S", # 5.00 GB</v>
      </c>
      <c r="R153">
        <v>1</v>
      </c>
    </row>
    <row r="154" spans="1:18" x14ac:dyDescent="0.25">
      <c r="A154" s="2" t="s">
        <v>11</v>
      </c>
      <c r="B154" s="3" t="s">
        <v>294</v>
      </c>
      <c r="C154" t="s">
        <v>16</v>
      </c>
      <c r="D154" t="s">
        <v>178</v>
      </c>
      <c r="E154" t="s">
        <v>21</v>
      </c>
      <c r="F154" t="s">
        <v>1</v>
      </c>
      <c r="G154" t="s">
        <v>179</v>
      </c>
      <c r="H154" t="s">
        <v>205</v>
      </c>
      <c r="I154" t="s">
        <v>35</v>
      </c>
      <c r="J154" t="s">
        <v>3</v>
      </c>
      <c r="K154" s="3" t="str">
        <f t="shared" si="5"/>
        <v>4</v>
      </c>
      <c r="L154">
        <v>7.25</v>
      </c>
      <c r="M154" t="s">
        <v>184</v>
      </c>
      <c r="N154" s="1">
        <v>45434</v>
      </c>
      <c r="O154" t="s">
        <v>234</v>
      </c>
      <c r="P154" t="str">
        <f t="shared" si="4"/>
        <v>"hf.co/bartowski/Mistral-7B-Instruct-v0.3-GGUF:Q4_K_M", # 4.37 GB</v>
      </c>
      <c r="R154">
        <v>1</v>
      </c>
    </row>
    <row r="155" spans="1:18" x14ac:dyDescent="0.25">
      <c r="B155" s="3" t="s">
        <v>294</v>
      </c>
      <c r="C155" t="s">
        <v>16</v>
      </c>
      <c r="D155" t="s">
        <v>178</v>
      </c>
      <c r="E155" t="s">
        <v>21</v>
      </c>
      <c r="F155" t="s">
        <v>1</v>
      </c>
      <c r="G155" t="s">
        <v>179</v>
      </c>
      <c r="H155" t="s">
        <v>205</v>
      </c>
      <c r="I155" t="s">
        <v>37</v>
      </c>
      <c r="J155" t="s">
        <v>3</v>
      </c>
      <c r="K155" s="3" t="str">
        <f t="shared" si="5"/>
        <v>4</v>
      </c>
      <c r="L155">
        <v>7.25</v>
      </c>
      <c r="M155" t="s">
        <v>185</v>
      </c>
      <c r="N155" s="1">
        <v>45434</v>
      </c>
      <c r="O155" t="s">
        <v>234</v>
      </c>
      <c r="P155" t="str">
        <f t="shared" si="4"/>
        <v>"hf.co/bartowski/Mistral-7B-Instruct-v0.3-GGUF:Q4_K_S", # 4.14 GB</v>
      </c>
      <c r="R155">
        <v>1</v>
      </c>
    </row>
    <row r="156" spans="1:18" x14ac:dyDescent="0.25">
      <c r="B156" s="3" t="s">
        <v>294</v>
      </c>
      <c r="C156" t="s">
        <v>16</v>
      </c>
      <c r="D156" t="s">
        <v>178</v>
      </c>
      <c r="E156" t="s">
        <v>21</v>
      </c>
      <c r="F156" t="s">
        <v>1</v>
      </c>
      <c r="G156" t="s">
        <v>179</v>
      </c>
      <c r="H156" t="s">
        <v>205</v>
      </c>
      <c r="I156" t="s">
        <v>122</v>
      </c>
      <c r="J156" t="s">
        <v>3</v>
      </c>
      <c r="K156" s="3" t="str">
        <f t="shared" si="5"/>
        <v>4</v>
      </c>
      <c r="L156">
        <v>7.25</v>
      </c>
      <c r="M156" t="s">
        <v>186</v>
      </c>
      <c r="N156" s="1">
        <v>45434</v>
      </c>
      <c r="O156" t="s">
        <v>234</v>
      </c>
      <c r="P156" t="str">
        <f t="shared" si="4"/>
        <v>"hf.co/bartowski/Mistral-7B-Instruct-v0.3-GGUF:IQ4_NL", # 4.13 GB</v>
      </c>
      <c r="R156">
        <v>1</v>
      </c>
    </row>
    <row r="157" spans="1:18" x14ac:dyDescent="0.25">
      <c r="B157" s="3" t="s">
        <v>294</v>
      </c>
      <c r="C157" t="s">
        <v>16</v>
      </c>
      <c r="D157" t="s">
        <v>178</v>
      </c>
      <c r="E157" t="s">
        <v>21</v>
      </c>
      <c r="F157" t="s">
        <v>1</v>
      </c>
      <c r="G157" t="s">
        <v>179</v>
      </c>
      <c r="H157" t="s">
        <v>205</v>
      </c>
      <c r="I157" t="s">
        <v>59</v>
      </c>
      <c r="J157" t="s">
        <v>3</v>
      </c>
      <c r="K157" s="3" t="str">
        <f t="shared" si="5"/>
        <v>4</v>
      </c>
      <c r="L157">
        <v>7.25</v>
      </c>
      <c r="M157" t="s">
        <v>187</v>
      </c>
      <c r="N157" s="1">
        <v>45434</v>
      </c>
      <c r="O157" t="s">
        <v>234</v>
      </c>
      <c r="P157" t="str">
        <f t="shared" si="4"/>
        <v>"hf.co/bartowski/Mistral-7B-Instruct-v0.3-GGUF:IQ4_XS", # 3.91 GB</v>
      </c>
      <c r="R157">
        <v>1</v>
      </c>
    </row>
    <row r="158" spans="1:18" x14ac:dyDescent="0.25">
      <c r="B158" s="3" t="s">
        <v>294</v>
      </c>
      <c r="C158" t="s">
        <v>16</v>
      </c>
      <c r="D158" t="s">
        <v>178</v>
      </c>
      <c r="E158" t="s">
        <v>21</v>
      </c>
      <c r="F158" t="s">
        <v>1</v>
      </c>
      <c r="G158" t="s">
        <v>179</v>
      </c>
      <c r="H158" t="s">
        <v>205</v>
      </c>
      <c r="I158" t="s">
        <v>61</v>
      </c>
      <c r="J158" t="s">
        <v>43</v>
      </c>
      <c r="K158" s="3" t="str">
        <f t="shared" si="5"/>
        <v>3</v>
      </c>
      <c r="L158">
        <v>7.25</v>
      </c>
      <c r="M158" t="s">
        <v>188</v>
      </c>
      <c r="N158" s="1">
        <v>45434</v>
      </c>
      <c r="O158" t="s">
        <v>234</v>
      </c>
      <c r="P158" t="str">
        <f t="shared" si="4"/>
        <v>"hf.co/bartowski/Mistral-7B-Instruct-v0.3-GGUF:Q3_K_L", # 3.82 GB</v>
      </c>
      <c r="R158">
        <v>1</v>
      </c>
    </row>
    <row r="159" spans="1:18" x14ac:dyDescent="0.25">
      <c r="B159" s="3" t="s">
        <v>294</v>
      </c>
      <c r="C159" t="s">
        <v>16</v>
      </c>
      <c r="D159" t="s">
        <v>178</v>
      </c>
      <c r="E159" t="s">
        <v>21</v>
      </c>
      <c r="F159" t="s">
        <v>1</v>
      </c>
      <c r="G159" t="s">
        <v>179</v>
      </c>
      <c r="H159" t="s">
        <v>205</v>
      </c>
      <c r="I159" t="s">
        <v>63</v>
      </c>
      <c r="J159" t="s">
        <v>43</v>
      </c>
      <c r="K159" s="3" t="str">
        <f t="shared" si="5"/>
        <v>3</v>
      </c>
      <c r="L159">
        <v>7.25</v>
      </c>
      <c r="M159" t="s">
        <v>189</v>
      </c>
      <c r="N159" s="1">
        <v>45434</v>
      </c>
      <c r="O159" t="s">
        <v>234</v>
      </c>
      <c r="P159" t="str">
        <f t="shared" si="4"/>
        <v>"hf.co/bartowski/Mistral-7B-Instruct-v0.3-GGUF:Q3_K_M", # 3.52 GB</v>
      </c>
      <c r="R159">
        <v>1</v>
      </c>
    </row>
    <row r="160" spans="1:18" x14ac:dyDescent="0.25">
      <c r="B160" s="3" t="s">
        <v>294</v>
      </c>
      <c r="C160" t="s">
        <v>16</v>
      </c>
      <c r="D160" t="s">
        <v>178</v>
      </c>
      <c r="E160" t="s">
        <v>21</v>
      </c>
      <c r="F160" t="s">
        <v>1</v>
      </c>
      <c r="G160" t="s">
        <v>179</v>
      </c>
      <c r="H160" t="s">
        <v>205</v>
      </c>
      <c r="I160" t="s">
        <v>65</v>
      </c>
      <c r="J160" t="s">
        <v>43</v>
      </c>
      <c r="K160" s="3" t="str">
        <f t="shared" si="5"/>
        <v>3</v>
      </c>
      <c r="L160">
        <v>7.25</v>
      </c>
      <c r="M160" t="s">
        <v>190</v>
      </c>
      <c r="N160" s="1">
        <v>45434</v>
      </c>
      <c r="O160" t="s">
        <v>234</v>
      </c>
      <c r="P160" t="str">
        <f t="shared" si="4"/>
        <v>"hf.co/bartowski/Mistral-7B-Instruct-v0.3-GGUF:IQ3_M", # 3.28 GB</v>
      </c>
      <c r="R160">
        <v>1</v>
      </c>
    </row>
    <row r="161" spans="1:18" x14ac:dyDescent="0.25">
      <c r="B161" s="3" t="s">
        <v>294</v>
      </c>
      <c r="C161" t="s">
        <v>16</v>
      </c>
      <c r="D161" t="s">
        <v>178</v>
      </c>
      <c r="E161" t="s">
        <v>21</v>
      </c>
      <c r="F161" t="s">
        <v>1</v>
      </c>
      <c r="G161" t="s">
        <v>179</v>
      </c>
      <c r="H161" t="s">
        <v>205</v>
      </c>
      <c r="I161" t="s">
        <v>191</v>
      </c>
      <c r="J161" t="s">
        <v>43</v>
      </c>
      <c r="K161" s="3" t="str">
        <f t="shared" si="5"/>
        <v>3</v>
      </c>
      <c r="L161">
        <v>7.25</v>
      </c>
      <c r="M161" t="s">
        <v>90</v>
      </c>
      <c r="N161" s="1">
        <v>45434</v>
      </c>
      <c r="O161" t="s">
        <v>234</v>
      </c>
      <c r="P161" t="str">
        <f t="shared" si="4"/>
        <v>"hf.co/bartowski/Mistral-7B-Instruct-v0.3-GGUF:IQ3_S", # 3.18 GB</v>
      </c>
      <c r="R161">
        <v>1</v>
      </c>
    </row>
    <row r="162" spans="1:18" x14ac:dyDescent="0.25">
      <c r="B162" s="3" t="s">
        <v>294</v>
      </c>
      <c r="C162" t="s">
        <v>16</v>
      </c>
      <c r="D162" t="s">
        <v>178</v>
      </c>
      <c r="E162" t="s">
        <v>21</v>
      </c>
      <c r="F162" t="s">
        <v>1</v>
      </c>
      <c r="G162" t="s">
        <v>179</v>
      </c>
      <c r="H162" t="s">
        <v>205</v>
      </c>
      <c r="I162" t="s">
        <v>67</v>
      </c>
      <c r="J162" t="s">
        <v>43</v>
      </c>
      <c r="K162" s="3" t="str">
        <f t="shared" si="5"/>
        <v>3</v>
      </c>
      <c r="L162">
        <v>7.25</v>
      </c>
      <c r="M162" t="s">
        <v>192</v>
      </c>
      <c r="N162" s="1">
        <v>45434</v>
      </c>
      <c r="O162" t="s">
        <v>234</v>
      </c>
      <c r="P162" t="str">
        <f t="shared" si="4"/>
        <v>"hf.co/bartowski/Mistral-7B-Instruct-v0.3-GGUF:Q3_K_S", # 3.16 GB</v>
      </c>
      <c r="R162">
        <v>1</v>
      </c>
    </row>
    <row r="163" spans="1:18" x14ac:dyDescent="0.25">
      <c r="B163" s="3" t="s">
        <v>294</v>
      </c>
      <c r="C163" t="s">
        <v>16</v>
      </c>
      <c r="D163" t="s">
        <v>178</v>
      </c>
      <c r="E163" t="s">
        <v>21</v>
      </c>
      <c r="F163" t="s">
        <v>1</v>
      </c>
      <c r="G163" t="s">
        <v>179</v>
      </c>
      <c r="H163" t="s">
        <v>205</v>
      </c>
      <c r="I163" t="s">
        <v>69</v>
      </c>
      <c r="J163" t="s">
        <v>43</v>
      </c>
      <c r="K163" s="3" t="str">
        <f t="shared" si="5"/>
        <v>3</v>
      </c>
      <c r="L163">
        <v>7.25</v>
      </c>
      <c r="M163" t="s">
        <v>193</v>
      </c>
      <c r="N163" s="1">
        <v>45434</v>
      </c>
      <c r="O163" t="s">
        <v>234</v>
      </c>
      <c r="P163" t="str">
        <f t="shared" si="4"/>
        <v>"hf.co/bartowski/Mistral-7B-Instruct-v0.3-GGUF:IQ3_XS", # 3.02 GB</v>
      </c>
      <c r="R163">
        <v>1</v>
      </c>
    </row>
    <row r="164" spans="1:18" x14ac:dyDescent="0.25">
      <c r="B164" s="3" t="s">
        <v>294</v>
      </c>
      <c r="C164" t="s">
        <v>16</v>
      </c>
      <c r="D164" t="s">
        <v>178</v>
      </c>
      <c r="E164" t="s">
        <v>21</v>
      </c>
      <c r="F164" t="s">
        <v>1</v>
      </c>
      <c r="G164" t="s">
        <v>179</v>
      </c>
      <c r="H164" t="s">
        <v>205</v>
      </c>
      <c r="I164" t="s">
        <v>125</v>
      </c>
      <c r="J164" t="s">
        <v>43</v>
      </c>
      <c r="K164" s="3" t="str">
        <f t="shared" si="5"/>
        <v>3</v>
      </c>
      <c r="L164">
        <v>7.25</v>
      </c>
      <c r="M164" t="s">
        <v>194</v>
      </c>
      <c r="N164" s="1">
        <v>45434</v>
      </c>
      <c r="O164" t="s">
        <v>234</v>
      </c>
      <c r="P164" t="str">
        <f t="shared" si="4"/>
        <v>"hf.co/bartowski/Mistral-7B-Instruct-v0.3-GGUF:IQ3_XXS", # 2.83 GB</v>
      </c>
      <c r="R164">
        <v>1</v>
      </c>
    </row>
    <row r="165" spans="1:18" x14ac:dyDescent="0.25">
      <c r="A165" s="2" t="s">
        <v>11</v>
      </c>
      <c r="B165" s="3" t="s">
        <v>294</v>
      </c>
      <c r="C165" t="s">
        <v>16</v>
      </c>
      <c r="D165" t="s">
        <v>178</v>
      </c>
      <c r="E165" t="s">
        <v>21</v>
      </c>
      <c r="F165" t="s">
        <v>1</v>
      </c>
      <c r="G165" t="s">
        <v>179</v>
      </c>
      <c r="H165" t="s">
        <v>205</v>
      </c>
      <c r="I165" t="s">
        <v>73</v>
      </c>
      <c r="J165" t="s">
        <v>114</v>
      </c>
      <c r="K165" s="3" t="str">
        <f t="shared" si="5"/>
        <v>2</v>
      </c>
      <c r="L165">
        <v>7.25</v>
      </c>
      <c r="M165" t="s">
        <v>195</v>
      </c>
      <c r="N165" s="1">
        <v>45434</v>
      </c>
      <c r="O165" t="s">
        <v>234</v>
      </c>
      <c r="P165" t="str">
        <f t="shared" si="4"/>
        <v>"hf.co/bartowski/Mistral-7B-Instruct-v0.3-GGUF:Q2_K", # 2.72 GB</v>
      </c>
      <c r="R165">
        <v>1</v>
      </c>
    </row>
    <row r="166" spans="1:18" x14ac:dyDescent="0.25">
      <c r="B166" s="3" t="s">
        <v>294</v>
      </c>
      <c r="C166" t="s">
        <v>16</v>
      </c>
      <c r="D166" t="s">
        <v>178</v>
      </c>
      <c r="E166" t="s">
        <v>21</v>
      </c>
      <c r="F166" t="s">
        <v>1</v>
      </c>
      <c r="G166" t="s">
        <v>179</v>
      </c>
      <c r="H166" t="s">
        <v>205</v>
      </c>
      <c r="I166" t="s">
        <v>75</v>
      </c>
      <c r="J166" t="s">
        <v>114</v>
      </c>
      <c r="K166" s="3" t="str">
        <f t="shared" si="5"/>
        <v>2</v>
      </c>
      <c r="L166">
        <v>7.25</v>
      </c>
      <c r="M166" t="s">
        <v>196</v>
      </c>
      <c r="N166" s="1">
        <v>45434</v>
      </c>
      <c r="O166" t="s">
        <v>234</v>
      </c>
      <c r="P166" t="str">
        <f t="shared" si="4"/>
        <v>"hf.co/bartowski/Mistral-7B-Instruct-v0.3-GGUF:IQ2_M", # 2.50 GB</v>
      </c>
      <c r="R166">
        <v>1</v>
      </c>
    </row>
    <row r="167" spans="1:18" x14ac:dyDescent="0.25">
      <c r="B167" s="3" t="s">
        <v>294</v>
      </c>
      <c r="C167" t="s">
        <v>16</v>
      </c>
      <c r="D167" t="s">
        <v>178</v>
      </c>
      <c r="E167" t="s">
        <v>21</v>
      </c>
      <c r="F167" t="s">
        <v>1</v>
      </c>
      <c r="G167" t="s">
        <v>179</v>
      </c>
      <c r="H167" t="s">
        <v>205</v>
      </c>
      <c r="I167" t="s">
        <v>77</v>
      </c>
      <c r="J167" t="s">
        <v>114</v>
      </c>
      <c r="K167" s="3" t="str">
        <f t="shared" si="5"/>
        <v>2</v>
      </c>
      <c r="L167">
        <v>7.25</v>
      </c>
      <c r="M167" t="s">
        <v>197</v>
      </c>
      <c r="N167" s="1">
        <v>45434</v>
      </c>
      <c r="O167" t="s">
        <v>234</v>
      </c>
      <c r="P167" t="str">
        <f t="shared" si="4"/>
        <v>"hf.co/bartowski/Mistral-7B-Instruct-v0.3-GGUF:IQ2_S", # 2.31 GB</v>
      </c>
      <c r="R167">
        <v>1</v>
      </c>
    </row>
    <row r="168" spans="1:18" x14ac:dyDescent="0.25">
      <c r="B168" s="3" t="s">
        <v>294</v>
      </c>
      <c r="C168" t="s">
        <v>16</v>
      </c>
      <c r="D168" t="s">
        <v>178</v>
      </c>
      <c r="E168" t="s">
        <v>21</v>
      </c>
      <c r="F168" t="s">
        <v>1</v>
      </c>
      <c r="G168" t="s">
        <v>179</v>
      </c>
      <c r="H168" t="s">
        <v>205</v>
      </c>
      <c r="I168" t="s">
        <v>79</v>
      </c>
      <c r="J168" t="s">
        <v>114</v>
      </c>
      <c r="K168" s="3" t="str">
        <f t="shared" si="5"/>
        <v>2</v>
      </c>
      <c r="L168">
        <v>7.25</v>
      </c>
      <c r="M168" t="s">
        <v>198</v>
      </c>
      <c r="N168" s="1">
        <v>45434</v>
      </c>
      <c r="O168" t="s">
        <v>234</v>
      </c>
      <c r="P168" t="str">
        <f t="shared" si="4"/>
        <v>"hf.co/bartowski/Mistral-7B-Instruct-v0.3-GGUF:IQ2_XS", # 2.20 GB</v>
      </c>
      <c r="R168">
        <v>1</v>
      </c>
    </row>
    <row r="169" spans="1:18" x14ac:dyDescent="0.25">
      <c r="B169" s="3" t="s">
        <v>294</v>
      </c>
      <c r="C169" t="s">
        <v>16</v>
      </c>
      <c r="D169" t="s">
        <v>178</v>
      </c>
      <c r="E169" t="s">
        <v>21</v>
      </c>
      <c r="F169" t="s">
        <v>1</v>
      </c>
      <c r="G169" t="s">
        <v>179</v>
      </c>
      <c r="H169" t="s">
        <v>205</v>
      </c>
      <c r="I169" t="s">
        <v>81</v>
      </c>
      <c r="J169" t="s">
        <v>114</v>
      </c>
      <c r="K169" s="3" t="str">
        <f t="shared" si="5"/>
        <v>2</v>
      </c>
      <c r="L169">
        <v>7.25</v>
      </c>
      <c r="M169" t="s">
        <v>199</v>
      </c>
      <c r="N169" s="1">
        <v>45434</v>
      </c>
      <c r="O169" t="s">
        <v>234</v>
      </c>
      <c r="P169" t="str">
        <f t="shared" si="4"/>
        <v>"hf.co/bartowski/Mistral-7B-Instruct-v0.3-GGUF:IQ2_XXS", # 1.99 GB</v>
      </c>
      <c r="R169">
        <v>1</v>
      </c>
    </row>
    <row r="170" spans="1:18" x14ac:dyDescent="0.25">
      <c r="B170" s="3" t="s">
        <v>294</v>
      </c>
      <c r="C170" t="s">
        <v>16</v>
      </c>
      <c r="D170" t="s">
        <v>178</v>
      </c>
      <c r="E170" t="s">
        <v>21</v>
      </c>
      <c r="F170" t="s">
        <v>1</v>
      </c>
      <c r="G170" t="s">
        <v>179</v>
      </c>
      <c r="H170" t="s">
        <v>205</v>
      </c>
      <c r="I170" t="s">
        <v>83</v>
      </c>
      <c r="J170" t="s">
        <v>115</v>
      </c>
      <c r="K170" s="3" t="str">
        <f t="shared" si="5"/>
        <v>1</v>
      </c>
      <c r="L170">
        <v>7.25</v>
      </c>
      <c r="M170" t="s">
        <v>200</v>
      </c>
      <c r="N170" s="1">
        <v>45434</v>
      </c>
      <c r="O170" t="s">
        <v>234</v>
      </c>
      <c r="P170" t="str">
        <f t="shared" si="4"/>
        <v>"hf.co/bartowski/Mistral-7B-Instruct-v0.3-GGUF:IQ1_M", # 1.75 GB</v>
      </c>
      <c r="R170">
        <v>1</v>
      </c>
    </row>
    <row r="171" spans="1:18" x14ac:dyDescent="0.25">
      <c r="B171" s="3" t="s">
        <v>294</v>
      </c>
      <c r="C171" t="s">
        <v>16</v>
      </c>
      <c r="D171" t="s">
        <v>178</v>
      </c>
      <c r="E171" t="s">
        <v>21</v>
      </c>
      <c r="F171" t="s">
        <v>1</v>
      </c>
      <c r="G171" t="s">
        <v>179</v>
      </c>
      <c r="H171" t="s">
        <v>205</v>
      </c>
      <c r="I171" t="s">
        <v>201</v>
      </c>
      <c r="J171" t="s">
        <v>115</v>
      </c>
      <c r="K171" s="3" t="str">
        <f t="shared" si="5"/>
        <v>1</v>
      </c>
      <c r="L171">
        <v>7.25</v>
      </c>
      <c r="M171" t="s">
        <v>202</v>
      </c>
      <c r="N171" s="1">
        <v>45434</v>
      </c>
      <c r="O171" t="s">
        <v>234</v>
      </c>
      <c r="P171" t="str">
        <f t="shared" si="4"/>
        <v>"hf.co/bartowski/Mistral-7B-Instruct-v0.3-GGUF:IQ1_S", # 1.61 GB</v>
      </c>
      <c r="R171">
        <v>1</v>
      </c>
    </row>
    <row r="172" spans="1:18" x14ac:dyDescent="0.25">
      <c r="A172" s="2" t="s">
        <v>11</v>
      </c>
      <c r="B172" s="3" t="s">
        <v>295</v>
      </c>
      <c r="C172" t="s">
        <v>206</v>
      </c>
      <c r="D172" t="s">
        <v>15</v>
      </c>
      <c r="E172" t="s">
        <v>21</v>
      </c>
      <c r="F172" t="s">
        <v>1</v>
      </c>
      <c r="G172" t="s">
        <v>207</v>
      </c>
      <c r="H172" t="s">
        <v>228</v>
      </c>
      <c r="I172" t="s">
        <v>23</v>
      </c>
      <c r="J172" t="s">
        <v>4</v>
      </c>
      <c r="K172" s="3" t="str">
        <f t="shared" si="5"/>
        <v>8</v>
      </c>
      <c r="L172">
        <v>11.1</v>
      </c>
      <c r="M172" t="s">
        <v>208</v>
      </c>
      <c r="N172" s="1">
        <v>45421</v>
      </c>
      <c r="O172" t="s">
        <v>234</v>
      </c>
      <c r="P172" t="str">
        <f t="shared" si="4"/>
        <v>"hf.co/bartowski/falcon-11B-GGUF:Q8_0", # 11.80 GB</v>
      </c>
      <c r="Q172" t="s">
        <v>297</v>
      </c>
      <c r="R172">
        <v>1</v>
      </c>
    </row>
    <row r="173" spans="1:18" x14ac:dyDescent="0.25">
      <c r="C173" t="s">
        <v>206</v>
      </c>
      <c r="D173" t="s">
        <v>15</v>
      </c>
      <c r="E173" t="s">
        <v>21</v>
      </c>
      <c r="F173" t="s">
        <v>1</v>
      </c>
      <c r="G173" t="s">
        <v>207</v>
      </c>
      <c r="H173" t="s">
        <v>228</v>
      </c>
      <c r="I173" t="s">
        <v>27</v>
      </c>
      <c r="J173" t="s">
        <v>41</v>
      </c>
      <c r="K173" s="3" t="str">
        <f t="shared" si="5"/>
        <v>6</v>
      </c>
      <c r="L173">
        <v>11.1</v>
      </c>
      <c r="M173" t="s">
        <v>209</v>
      </c>
      <c r="N173" s="1">
        <v>45421</v>
      </c>
      <c r="O173" t="s">
        <v>234</v>
      </c>
      <c r="P173" t="str">
        <f t="shared" si="4"/>
        <v>"hf.co/bartowski/falcon-11B-GGUF:Q6_K", # 9.17 GB</v>
      </c>
      <c r="R173">
        <v>1</v>
      </c>
    </row>
    <row r="174" spans="1:18" x14ac:dyDescent="0.25">
      <c r="C174" t="s">
        <v>206</v>
      </c>
      <c r="D174" t="s">
        <v>15</v>
      </c>
      <c r="E174" t="s">
        <v>21</v>
      </c>
      <c r="F174" t="s">
        <v>1</v>
      </c>
      <c r="G174" t="s">
        <v>207</v>
      </c>
      <c r="H174" t="s">
        <v>228</v>
      </c>
      <c r="I174" t="s">
        <v>30</v>
      </c>
      <c r="J174" t="s">
        <v>42</v>
      </c>
      <c r="K174" s="3" t="str">
        <f t="shared" si="5"/>
        <v>5</v>
      </c>
      <c r="L174">
        <v>11.1</v>
      </c>
      <c r="M174" t="s">
        <v>210</v>
      </c>
      <c r="N174" s="1">
        <v>45421</v>
      </c>
      <c r="O174" t="s">
        <v>234</v>
      </c>
      <c r="P174" t="str">
        <f t="shared" si="4"/>
        <v>"hf.co/bartowski/falcon-11B-GGUF:Q5_K_M", # 8.20 GB</v>
      </c>
      <c r="R174">
        <v>1</v>
      </c>
    </row>
    <row r="175" spans="1:18" x14ac:dyDescent="0.25">
      <c r="C175" t="s">
        <v>206</v>
      </c>
      <c r="D175" t="s">
        <v>15</v>
      </c>
      <c r="E175" t="s">
        <v>21</v>
      </c>
      <c r="F175" t="s">
        <v>1</v>
      </c>
      <c r="G175" t="s">
        <v>207</v>
      </c>
      <c r="H175" t="s">
        <v>228</v>
      </c>
      <c r="I175" t="s">
        <v>32</v>
      </c>
      <c r="J175" t="s">
        <v>42</v>
      </c>
      <c r="K175" s="3" t="str">
        <f t="shared" si="5"/>
        <v>5</v>
      </c>
      <c r="L175">
        <v>11.1</v>
      </c>
      <c r="M175" t="s">
        <v>211</v>
      </c>
      <c r="N175" s="1">
        <v>45421</v>
      </c>
      <c r="O175" t="s">
        <v>234</v>
      </c>
      <c r="P175" t="str">
        <f t="shared" si="4"/>
        <v>"hf.co/bartowski/falcon-11B-GGUF:Q5_K_S", # 7.73 GB</v>
      </c>
      <c r="R175">
        <v>1</v>
      </c>
    </row>
    <row r="176" spans="1:18" x14ac:dyDescent="0.25">
      <c r="A176" s="2" t="s">
        <v>11</v>
      </c>
      <c r="C176" t="s">
        <v>206</v>
      </c>
      <c r="D176" t="s">
        <v>15</v>
      </c>
      <c r="E176" t="s">
        <v>21</v>
      </c>
      <c r="F176" t="s">
        <v>1</v>
      </c>
      <c r="G176" t="s">
        <v>207</v>
      </c>
      <c r="H176" t="s">
        <v>228</v>
      </c>
      <c r="I176" t="s">
        <v>35</v>
      </c>
      <c r="J176" t="s">
        <v>3</v>
      </c>
      <c r="K176" s="3" t="str">
        <f t="shared" si="5"/>
        <v>4</v>
      </c>
      <c r="L176">
        <v>11.1</v>
      </c>
      <c r="M176" t="s">
        <v>212</v>
      </c>
      <c r="N176" s="1">
        <v>45421</v>
      </c>
      <c r="O176" t="s">
        <v>234</v>
      </c>
      <c r="P176" t="str">
        <f t="shared" si="4"/>
        <v>"hf.co/bartowski/falcon-11B-GGUF:Q4_K_M", # 6.84 GB</v>
      </c>
      <c r="R176">
        <v>1</v>
      </c>
    </row>
    <row r="177" spans="1:18" x14ac:dyDescent="0.25">
      <c r="C177" t="s">
        <v>206</v>
      </c>
      <c r="D177" t="s">
        <v>15</v>
      </c>
      <c r="E177" t="s">
        <v>21</v>
      </c>
      <c r="F177" t="s">
        <v>1</v>
      </c>
      <c r="G177" t="s">
        <v>207</v>
      </c>
      <c r="H177" t="s">
        <v>228</v>
      </c>
      <c r="I177" t="s">
        <v>37</v>
      </c>
      <c r="J177" t="s">
        <v>3</v>
      </c>
      <c r="K177" s="3" t="str">
        <f t="shared" si="5"/>
        <v>4</v>
      </c>
      <c r="L177">
        <v>11.1</v>
      </c>
      <c r="M177" t="s">
        <v>213</v>
      </c>
      <c r="N177" s="1">
        <v>45421</v>
      </c>
      <c r="O177" t="s">
        <v>234</v>
      </c>
      <c r="P177" t="str">
        <f t="shared" si="4"/>
        <v>"hf.co/bartowski/falcon-11B-GGUF:Q4_K_S", # 6.38 GB</v>
      </c>
      <c r="R177">
        <v>1</v>
      </c>
    </row>
    <row r="178" spans="1:18" x14ac:dyDescent="0.25">
      <c r="C178" t="s">
        <v>206</v>
      </c>
      <c r="D178" t="s">
        <v>15</v>
      </c>
      <c r="E178" t="s">
        <v>21</v>
      </c>
      <c r="F178" t="s">
        <v>1</v>
      </c>
      <c r="G178" t="s">
        <v>207</v>
      </c>
      <c r="H178" t="s">
        <v>228</v>
      </c>
      <c r="I178" t="s">
        <v>122</v>
      </c>
      <c r="J178" t="s">
        <v>3</v>
      </c>
      <c r="K178" s="3" t="str">
        <f t="shared" si="5"/>
        <v>4</v>
      </c>
      <c r="L178">
        <v>11.1</v>
      </c>
      <c r="M178" t="s">
        <v>213</v>
      </c>
      <c r="N178" s="1">
        <v>45421</v>
      </c>
      <c r="O178" t="s">
        <v>234</v>
      </c>
      <c r="P178" t="str">
        <f t="shared" si="4"/>
        <v>"hf.co/bartowski/falcon-11B-GGUF:IQ4_NL", # 6.38 GB</v>
      </c>
      <c r="R178">
        <v>1</v>
      </c>
    </row>
    <row r="179" spans="1:18" x14ac:dyDescent="0.25">
      <c r="C179" t="s">
        <v>206</v>
      </c>
      <c r="D179" t="s">
        <v>15</v>
      </c>
      <c r="E179" t="s">
        <v>21</v>
      </c>
      <c r="F179" t="s">
        <v>1</v>
      </c>
      <c r="G179" t="s">
        <v>207</v>
      </c>
      <c r="H179" t="s">
        <v>228</v>
      </c>
      <c r="I179" t="s">
        <v>59</v>
      </c>
      <c r="J179" t="s">
        <v>3</v>
      </c>
      <c r="K179" s="3" t="str">
        <f t="shared" si="5"/>
        <v>4</v>
      </c>
      <c r="L179">
        <v>11.1</v>
      </c>
      <c r="M179" t="s">
        <v>214</v>
      </c>
      <c r="N179" s="1">
        <v>45421</v>
      </c>
      <c r="O179" t="s">
        <v>234</v>
      </c>
      <c r="P179" t="str">
        <f t="shared" si="4"/>
        <v>"hf.co/bartowski/falcon-11B-GGUF:IQ4_XS", # 6.04 GB</v>
      </c>
      <c r="R179">
        <v>1</v>
      </c>
    </row>
    <row r="180" spans="1:18" x14ac:dyDescent="0.25">
      <c r="C180" t="s">
        <v>206</v>
      </c>
      <c r="D180" t="s">
        <v>15</v>
      </c>
      <c r="E180" t="s">
        <v>21</v>
      </c>
      <c r="F180" t="s">
        <v>1</v>
      </c>
      <c r="G180" t="s">
        <v>207</v>
      </c>
      <c r="H180" t="s">
        <v>228</v>
      </c>
      <c r="I180" t="s">
        <v>61</v>
      </c>
      <c r="J180" t="s">
        <v>43</v>
      </c>
      <c r="K180" s="3" t="str">
        <f t="shared" si="5"/>
        <v>3</v>
      </c>
      <c r="L180">
        <v>11.1</v>
      </c>
      <c r="M180" t="s">
        <v>215</v>
      </c>
      <c r="N180" s="1">
        <v>45421</v>
      </c>
      <c r="O180" t="s">
        <v>234</v>
      </c>
      <c r="P180" t="str">
        <f t="shared" si="4"/>
        <v>"hf.co/bartowski/falcon-11B-GGUF:Q3_K_L", # 5.81 GB</v>
      </c>
      <c r="R180">
        <v>1</v>
      </c>
    </row>
    <row r="181" spans="1:18" x14ac:dyDescent="0.25">
      <c r="C181" t="s">
        <v>206</v>
      </c>
      <c r="D181" t="s">
        <v>15</v>
      </c>
      <c r="E181" t="s">
        <v>21</v>
      </c>
      <c r="F181" t="s">
        <v>1</v>
      </c>
      <c r="G181" t="s">
        <v>207</v>
      </c>
      <c r="H181" t="s">
        <v>228</v>
      </c>
      <c r="I181" t="s">
        <v>63</v>
      </c>
      <c r="J181" t="s">
        <v>43</v>
      </c>
      <c r="K181" s="3" t="str">
        <f t="shared" si="5"/>
        <v>3</v>
      </c>
      <c r="L181">
        <v>11.1</v>
      </c>
      <c r="M181" t="s">
        <v>216</v>
      </c>
      <c r="N181" s="1">
        <v>45421</v>
      </c>
      <c r="O181" t="s">
        <v>234</v>
      </c>
      <c r="P181" t="str">
        <f t="shared" si="4"/>
        <v>"hf.co/bartowski/falcon-11B-GGUF:Q3_K_M", # 5.43 GB</v>
      </c>
      <c r="R181">
        <v>1</v>
      </c>
    </row>
    <row r="182" spans="1:18" x14ac:dyDescent="0.25">
      <c r="C182" t="s">
        <v>206</v>
      </c>
      <c r="D182" t="s">
        <v>15</v>
      </c>
      <c r="E182" t="s">
        <v>21</v>
      </c>
      <c r="F182" t="s">
        <v>1</v>
      </c>
      <c r="G182" t="s">
        <v>207</v>
      </c>
      <c r="H182" t="s">
        <v>228</v>
      </c>
      <c r="I182" t="s">
        <v>65</v>
      </c>
      <c r="J182" t="s">
        <v>43</v>
      </c>
      <c r="K182" s="3" t="str">
        <f t="shared" si="5"/>
        <v>3</v>
      </c>
      <c r="L182">
        <v>11.1</v>
      </c>
      <c r="M182" t="s">
        <v>217</v>
      </c>
      <c r="N182" s="1">
        <v>45421</v>
      </c>
      <c r="O182" t="s">
        <v>234</v>
      </c>
      <c r="P182" t="str">
        <f t="shared" si="4"/>
        <v>"hf.co/bartowski/falcon-11B-GGUF:IQ3_M", # 5.20 GB</v>
      </c>
      <c r="R182">
        <v>1</v>
      </c>
    </row>
    <row r="183" spans="1:18" x14ac:dyDescent="0.25">
      <c r="C183" t="s">
        <v>206</v>
      </c>
      <c r="D183" t="s">
        <v>15</v>
      </c>
      <c r="E183" t="s">
        <v>21</v>
      </c>
      <c r="F183" t="s">
        <v>1</v>
      </c>
      <c r="G183" t="s">
        <v>207</v>
      </c>
      <c r="H183" t="s">
        <v>228</v>
      </c>
      <c r="I183" t="s">
        <v>191</v>
      </c>
      <c r="J183" t="s">
        <v>43</v>
      </c>
      <c r="K183" s="3" t="str">
        <f t="shared" si="5"/>
        <v>3</v>
      </c>
      <c r="L183">
        <v>11.1</v>
      </c>
      <c r="M183" t="s">
        <v>218</v>
      </c>
      <c r="N183" s="1">
        <v>45421</v>
      </c>
      <c r="O183" t="s">
        <v>234</v>
      </c>
      <c r="P183" t="str">
        <f t="shared" si="4"/>
        <v>"hf.co/bartowski/falcon-11B-GGUF:IQ3_S", # 4.94 GB</v>
      </c>
      <c r="R183">
        <v>1</v>
      </c>
    </row>
    <row r="184" spans="1:18" x14ac:dyDescent="0.25">
      <c r="C184" t="s">
        <v>206</v>
      </c>
      <c r="D184" t="s">
        <v>15</v>
      </c>
      <c r="E184" t="s">
        <v>21</v>
      </c>
      <c r="F184" t="s">
        <v>1</v>
      </c>
      <c r="G184" t="s">
        <v>207</v>
      </c>
      <c r="H184" t="s">
        <v>228</v>
      </c>
      <c r="I184" t="s">
        <v>67</v>
      </c>
      <c r="J184" t="s">
        <v>43</v>
      </c>
      <c r="K184" s="3" t="str">
        <f t="shared" si="5"/>
        <v>3</v>
      </c>
      <c r="L184">
        <v>11.1</v>
      </c>
      <c r="M184" t="s">
        <v>218</v>
      </c>
      <c r="N184" s="1">
        <v>45421</v>
      </c>
      <c r="O184" t="s">
        <v>234</v>
      </c>
      <c r="P184" t="str">
        <f t="shared" si="4"/>
        <v>"hf.co/bartowski/falcon-11B-GGUF:Q3_K_S", # 4.94 GB</v>
      </c>
      <c r="R184">
        <v>1</v>
      </c>
    </row>
    <row r="185" spans="1:18" x14ac:dyDescent="0.25">
      <c r="C185" t="s">
        <v>206</v>
      </c>
      <c r="D185" t="s">
        <v>15</v>
      </c>
      <c r="E185" t="s">
        <v>21</v>
      </c>
      <c r="F185" t="s">
        <v>1</v>
      </c>
      <c r="G185" t="s">
        <v>207</v>
      </c>
      <c r="H185" t="s">
        <v>228</v>
      </c>
      <c r="I185" t="s">
        <v>69</v>
      </c>
      <c r="J185" t="s">
        <v>43</v>
      </c>
      <c r="K185" s="3" t="str">
        <f t="shared" si="5"/>
        <v>3</v>
      </c>
      <c r="L185">
        <v>11.1</v>
      </c>
      <c r="M185" t="s">
        <v>219</v>
      </c>
      <c r="N185" s="1">
        <v>45421</v>
      </c>
      <c r="O185" t="s">
        <v>234</v>
      </c>
      <c r="P185" t="str">
        <f t="shared" si="4"/>
        <v>"hf.co/bartowski/falcon-11B-GGUF:IQ3_XS", # 4.80 GB</v>
      </c>
      <c r="R185">
        <v>1</v>
      </c>
    </row>
    <row r="186" spans="1:18" x14ac:dyDescent="0.25">
      <c r="C186" t="s">
        <v>206</v>
      </c>
      <c r="D186" t="s">
        <v>15</v>
      </c>
      <c r="E186" t="s">
        <v>21</v>
      </c>
      <c r="F186" t="s">
        <v>1</v>
      </c>
      <c r="G186" t="s">
        <v>207</v>
      </c>
      <c r="H186" t="s">
        <v>228</v>
      </c>
      <c r="I186" t="s">
        <v>125</v>
      </c>
      <c r="J186" t="s">
        <v>43</v>
      </c>
      <c r="K186" s="3" t="str">
        <f t="shared" si="5"/>
        <v>3</v>
      </c>
      <c r="L186">
        <v>11.1</v>
      </c>
      <c r="M186" t="s">
        <v>220</v>
      </c>
      <c r="N186" s="1">
        <v>45421</v>
      </c>
      <c r="O186" t="s">
        <v>234</v>
      </c>
      <c r="P186" t="str">
        <f t="shared" si="4"/>
        <v>"hf.co/bartowski/falcon-11B-GGUF:IQ3_XXS", # 4.44 GB</v>
      </c>
      <c r="R186">
        <v>1</v>
      </c>
    </row>
    <row r="187" spans="1:18" x14ac:dyDescent="0.25">
      <c r="A187" s="2" t="s">
        <v>11</v>
      </c>
      <c r="C187" t="s">
        <v>206</v>
      </c>
      <c r="D187" t="s">
        <v>15</v>
      </c>
      <c r="E187" t="s">
        <v>21</v>
      </c>
      <c r="F187" t="s">
        <v>1</v>
      </c>
      <c r="G187" t="s">
        <v>207</v>
      </c>
      <c r="H187" t="s">
        <v>228</v>
      </c>
      <c r="I187" t="s">
        <v>73</v>
      </c>
      <c r="J187" t="s">
        <v>114</v>
      </c>
      <c r="K187" s="3" t="str">
        <f t="shared" si="5"/>
        <v>2</v>
      </c>
      <c r="L187">
        <v>11.1</v>
      </c>
      <c r="M187" t="s">
        <v>221</v>
      </c>
      <c r="N187" s="1">
        <v>45421</v>
      </c>
      <c r="O187" t="s">
        <v>234</v>
      </c>
      <c r="P187" t="str">
        <f t="shared" si="4"/>
        <v>"hf.co/bartowski/falcon-11B-GGUF:Q2_K", # 4.25 GB</v>
      </c>
      <c r="R187">
        <v>1</v>
      </c>
    </row>
    <row r="188" spans="1:18" x14ac:dyDescent="0.25">
      <c r="C188" t="s">
        <v>206</v>
      </c>
      <c r="D188" t="s">
        <v>15</v>
      </c>
      <c r="E188" t="s">
        <v>21</v>
      </c>
      <c r="F188" t="s">
        <v>1</v>
      </c>
      <c r="G188" t="s">
        <v>207</v>
      </c>
      <c r="H188" t="s">
        <v>228</v>
      </c>
      <c r="I188" t="s">
        <v>75</v>
      </c>
      <c r="J188" t="s">
        <v>114</v>
      </c>
      <c r="K188" s="3" t="str">
        <f t="shared" si="5"/>
        <v>2</v>
      </c>
      <c r="L188">
        <v>11.1</v>
      </c>
      <c r="M188" t="s">
        <v>222</v>
      </c>
      <c r="N188" s="1">
        <v>45421</v>
      </c>
      <c r="O188" t="s">
        <v>234</v>
      </c>
      <c r="P188" t="str">
        <f t="shared" si="4"/>
        <v>"hf.co/bartowski/falcon-11B-GGUF:IQ2_M", # 3.94 GB</v>
      </c>
      <c r="R188">
        <v>1</v>
      </c>
    </row>
    <row r="189" spans="1:18" x14ac:dyDescent="0.25">
      <c r="C189" t="s">
        <v>206</v>
      </c>
      <c r="D189" t="s">
        <v>15</v>
      </c>
      <c r="E189" t="s">
        <v>21</v>
      </c>
      <c r="F189" t="s">
        <v>1</v>
      </c>
      <c r="G189" t="s">
        <v>207</v>
      </c>
      <c r="H189" t="s">
        <v>228</v>
      </c>
      <c r="I189" t="s">
        <v>77</v>
      </c>
      <c r="J189" t="s">
        <v>114</v>
      </c>
      <c r="K189" s="3" t="str">
        <f t="shared" si="5"/>
        <v>2</v>
      </c>
      <c r="L189">
        <v>11.1</v>
      </c>
      <c r="M189" t="s">
        <v>223</v>
      </c>
      <c r="N189" s="1">
        <v>45421</v>
      </c>
      <c r="O189" t="s">
        <v>234</v>
      </c>
      <c r="P189" t="str">
        <f t="shared" si="4"/>
        <v>"hf.co/bartowski/falcon-11B-GGUF:IQ2_S", # 3.66 GB</v>
      </c>
      <c r="R189">
        <v>1</v>
      </c>
    </row>
    <row r="190" spans="1:18" x14ac:dyDescent="0.25">
      <c r="C190" t="s">
        <v>206</v>
      </c>
      <c r="D190" t="s">
        <v>15</v>
      </c>
      <c r="E190" t="s">
        <v>21</v>
      </c>
      <c r="F190" t="s">
        <v>1</v>
      </c>
      <c r="G190" t="s">
        <v>207</v>
      </c>
      <c r="H190" t="s">
        <v>228</v>
      </c>
      <c r="I190" t="s">
        <v>79</v>
      </c>
      <c r="J190" t="s">
        <v>114</v>
      </c>
      <c r="K190" s="3" t="str">
        <f t="shared" si="5"/>
        <v>2</v>
      </c>
      <c r="L190">
        <v>11.1</v>
      </c>
      <c r="M190" t="s">
        <v>224</v>
      </c>
      <c r="N190" s="1">
        <v>45421</v>
      </c>
      <c r="O190" t="s">
        <v>234</v>
      </c>
      <c r="P190" t="str">
        <f t="shared" si="4"/>
        <v>"hf.co/bartowski/falcon-11B-GGUF:IQ2_XS", # 3.44 GB</v>
      </c>
      <c r="R190">
        <v>1</v>
      </c>
    </row>
    <row r="191" spans="1:18" x14ac:dyDescent="0.25">
      <c r="C191" t="s">
        <v>206</v>
      </c>
      <c r="D191" t="s">
        <v>15</v>
      </c>
      <c r="E191" t="s">
        <v>21</v>
      </c>
      <c r="F191" t="s">
        <v>1</v>
      </c>
      <c r="G191" t="s">
        <v>207</v>
      </c>
      <c r="H191" t="s">
        <v>228</v>
      </c>
      <c r="I191" t="s">
        <v>81</v>
      </c>
      <c r="J191" t="s">
        <v>114</v>
      </c>
      <c r="K191" s="3" t="str">
        <f t="shared" si="5"/>
        <v>2</v>
      </c>
      <c r="L191">
        <v>11.1</v>
      </c>
      <c r="M191" t="s">
        <v>225</v>
      </c>
      <c r="N191" s="1">
        <v>45421</v>
      </c>
      <c r="O191" t="s">
        <v>234</v>
      </c>
      <c r="P191" t="str">
        <f t="shared" si="4"/>
        <v>"hf.co/bartowski/falcon-11B-GGUF:IQ2_XXS", # 3.13 GB</v>
      </c>
      <c r="R191">
        <v>1</v>
      </c>
    </row>
    <row r="192" spans="1:18" x14ac:dyDescent="0.25">
      <c r="C192" t="s">
        <v>206</v>
      </c>
      <c r="D192" t="s">
        <v>15</v>
      </c>
      <c r="E192" t="s">
        <v>21</v>
      </c>
      <c r="F192" t="s">
        <v>1</v>
      </c>
      <c r="G192" t="s">
        <v>207</v>
      </c>
      <c r="H192" t="s">
        <v>228</v>
      </c>
      <c r="I192" t="s">
        <v>83</v>
      </c>
      <c r="J192" t="s">
        <v>115</v>
      </c>
      <c r="K192" s="3" t="str">
        <f t="shared" si="5"/>
        <v>1</v>
      </c>
      <c r="L192">
        <v>11.1</v>
      </c>
      <c r="M192" t="s">
        <v>226</v>
      </c>
      <c r="N192" s="1">
        <v>45421</v>
      </c>
      <c r="O192" t="s">
        <v>234</v>
      </c>
      <c r="P192" t="str">
        <f t="shared" si="4"/>
        <v>"hf.co/bartowski/falcon-11B-GGUF:IQ1_M", # 2.77 GB</v>
      </c>
      <c r="R192">
        <v>1</v>
      </c>
    </row>
    <row r="193" spans="2:18" x14ac:dyDescent="0.25">
      <c r="C193" t="s">
        <v>206</v>
      </c>
      <c r="D193" t="s">
        <v>15</v>
      </c>
      <c r="E193" t="s">
        <v>21</v>
      </c>
      <c r="F193" t="s">
        <v>1</v>
      </c>
      <c r="G193" t="s">
        <v>207</v>
      </c>
      <c r="H193" t="s">
        <v>228</v>
      </c>
      <c r="I193" t="s">
        <v>201</v>
      </c>
      <c r="J193" t="s">
        <v>115</v>
      </c>
      <c r="K193" s="3" t="str">
        <f t="shared" si="5"/>
        <v>1</v>
      </c>
      <c r="L193">
        <v>11.1</v>
      </c>
      <c r="M193" t="s">
        <v>227</v>
      </c>
      <c r="N193" s="1">
        <v>45421</v>
      </c>
      <c r="O193" t="s">
        <v>234</v>
      </c>
      <c r="P193" t="str">
        <f t="shared" si="4"/>
        <v>"hf.co/bartowski/falcon-11B-GGUF:IQ1_S", # 2.56 GB</v>
      </c>
      <c r="R193">
        <v>1</v>
      </c>
    </row>
    <row r="194" spans="2:18" x14ac:dyDescent="0.25">
      <c r="C194" t="s">
        <v>235</v>
      </c>
      <c r="D194" t="s">
        <v>2</v>
      </c>
      <c r="E194" t="s">
        <v>21</v>
      </c>
      <c r="F194" t="s">
        <v>1</v>
      </c>
      <c r="G194" t="s">
        <v>236</v>
      </c>
      <c r="H194" t="s">
        <v>235</v>
      </c>
      <c r="I194" t="s">
        <v>13</v>
      </c>
      <c r="J194" t="s">
        <v>44</v>
      </c>
      <c r="K194" s="3" t="str">
        <f t="shared" si="5"/>
        <v>32</v>
      </c>
      <c r="L194">
        <v>27</v>
      </c>
      <c r="M194" t="s">
        <v>237</v>
      </c>
      <c r="N194" s="1">
        <v>45467</v>
      </c>
      <c r="O194" t="s">
        <v>1</v>
      </c>
      <c r="P194" t="str">
        <f t="shared" si="4"/>
        <v>"hf.co/bartowski/gemma-2-27b-it-GGUF:F32", # 108.91 GB</v>
      </c>
      <c r="Q194">
        <v>3</v>
      </c>
    </row>
    <row r="195" spans="2:18" x14ac:dyDescent="0.25">
      <c r="B195" s="3" t="s">
        <v>292</v>
      </c>
      <c r="C195" t="s">
        <v>235</v>
      </c>
      <c r="D195" t="s">
        <v>2</v>
      </c>
      <c r="E195" t="s">
        <v>21</v>
      </c>
      <c r="F195" t="s">
        <v>1</v>
      </c>
      <c r="G195" t="s">
        <v>236</v>
      </c>
      <c r="H195" t="s">
        <v>235</v>
      </c>
      <c r="I195" t="s">
        <v>23</v>
      </c>
      <c r="J195" t="s">
        <v>4</v>
      </c>
      <c r="K195" s="3" t="str">
        <f t="shared" si="5"/>
        <v>8</v>
      </c>
      <c r="L195">
        <v>27</v>
      </c>
      <c r="M195" t="s">
        <v>238</v>
      </c>
      <c r="N195" s="1">
        <v>45467</v>
      </c>
      <c r="O195" t="s">
        <v>1</v>
      </c>
      <c r="P195" t="str">
        <f t="shared" ref="P195:P234" si="6">CONCATENATE("""hf.co/", G195, ":", I195, """", ",", " # ", M195)</f>
        <v>"hf.co/bartowski/gemma-2-27b-it-GGUF:Q8_0", # 28.94 GB</v>
      </c>
      <c r="R195">
        <v>1</v>
      </c>
    </row>
    <row r="196" spans="2:18" x14ac:dyDescent="0.25">
      <c r="B196" s="3" t="s">
        <v>292</v>
      </c>
      <c r="C196" t="s">
        <v>235</v>
      </c>
      <c r="D196" t="s">
        <v>2</v>
      </c>
      <c r="E196" t="s">
        <v>21</v>
      </c>
      <c r="F196" t="s">
        <v>1</v>
      </c>
      <c r="G196" t="s">
        <v>236</v>
      </c>
      <c r="H196" t="s">
        <v>235</v>
      </c>
      <c r="I196" t="s">
        <v>25</v>
      </c>
      <c r="J196" t="s">
        <v>41</v>
      </c>
      <c r="K196" s="3" t="str">
        <f t="shared" ref="K196:K234" si="7">LEFT(J196, FIND("-", J196) - 1)</f>
        <v>6</v>
      </c>
      <c r="L196">
        <v>27</v>
      </c>
      <c r="M196" t="s">
        <v>239</v>
      </c>
      <c r="N196" s="1">
        <v>45467</v>
      </c>
      <c r="O196" t="s">
        <v>1</v>
      </c>
      <c r="P196" t="str">
        <f t="shared" si="6"/>
        <v>"hf.co/bartowski/gemma-2-27b-it-GGUF:Q6_K_L", # 22.63 GB</v>
      </c>
      <c r="R196">
        <v>1</v>
      </c>
    </row>
    <row r="197" spans="2:18" x14ac:dyDescent="0.25">
      <c r="B197" s="3" t="s">
        <v>292</v>
      </c>
      <c r="C197" t="s">
        <v>235</v>
      </c>
      <c r="D197" t="s">
        <v>2</v>
      </c>
      <c r="E197" t="s">
        <v>21</v>
      </c>
      <c r="F197" t="s">
        <v>1</v>
      </c>
      <c r="G197" t="s">
        <v>236</v>
      </c>
      <c r="H197" t="s">
        <v>235</v>
      </c>
      <c r="I197" t="s">
        <v>27</v>
      </c>
      <c r="J197" t="s">
        <v>41</v>
      </c>
      <c r="K197" s="3" t="str">
        <f t="shared" si="7"/>
        <v>6</v>
      </c>
      <c r="L197">
        <v>27</v>
      </c>
      <c r="M197" t="s">
        <v>240</v>
      </c>
      <c r="N197" s="1">
        <v>45467</v>
      </c>
      <c r="O197" t="s">
        <v>1</v>
      </c>
      <c r="P197" t="str">
        <f t="shared" si="6"/>
        <v>"hf.co/bartowski/gemma-2-27b-it-GGUF:Q6_K", # 22.34 GB</v>
      </c>
      <c r="R197">
        <v>1</v>
      </c>
    </row>
    <row r="198" spans="2:18" x14ac:dyDescent="0.25">
      <c r="B198" s="3" t="s">
        <v>292</v>
      </c>
      <c r="C198" t="s">
        <v>235</v>
      </c>
      <c r="D198" t="s">
        <v>2</v>
      </c>
      <c r="E198" t="s">
        <v>21</v>
      </c>
      <c r="F198" t="s">
        <v>1</v>
      </c>
      <c r="G198" t="s">
        <v>236</v>
      </c>
      <c r="H198" t="s">
        <v>235</v>
      </c>
      <c r="I198" t="s">
        <v>28</v>
      </c>
      <c r="J198" t="s">
        <v>42</v>
      </c>
      <c r="K198" s="3" t="str">
        <f t="shared" si="7"/>
        <v>5</v>
      </c>
      <c r="L198">
        <v>27</v>
      </c>
      <c r="M198" t="s">
        <v>241</v>
      </c>
      <c r="N198" s="1">
        <v>45467</v>
      </c>
      <c r="O198" t="s">
        <v>1</v>
      </c>
      <c r="P198" t="str">
        <f t="shared" si="6"/>
        <v>"hf.co/bartowski/gemma-2-27b-it-GGUF:Q5_K_L", # 19.69 GB</v>
      </c>
      <c r="R198">
        <v>1</v>
      </c>
    </row>
    <row r="199" spans="2:18" x14ac:dyDescent="0.25">
      <c r="B199" s="3" t="s">
        <v>292</v>
      </c>
      <c r="C199" t="s">
        <v>235</v>
      </c>
      <c r="D199" t="s">
        <v>2</v>
      </c>
      <c r="E199" t="s">
        <v>21</v>
      </c>
      <c r="F199" t="s">
        <v>1</v>
      </c>
      <c r="G199" t="s">
        <v>236</v>
      </c>
      <c r="H199" t="s">
        <v>235</v>
      </c>
      <c r="I199" t="s">
        <v>30</v>
      </c>
      <c r="J199" t="s">
        <v>42</v>
      </c>
      <c r="K199" s="3" t="str">
        <f t="shared" si="7"/>
        <v>5</v>
      </c>
      <c r="L199">
        <v>27</v>
      </c>
      <c r="M199" t="s">
        <v>242</v>
      </c>
      <c r="N199" s="1">
        <v>45467</v>
      </c>
      <c r="O199" t="s">
        <v>1</v>
      </c>
      <c r="P199" t="str">
        <f t="shared" si="6"/>
        <v>"hf.co/bartowski/gemma-2-27b-it-GGUF:Q5_K_M", # 19.41 GB</v>
      </c>
      <c r="R199">
        <v>1</v>
      </c>
    </row>
    <row r="200" spans="2:18" x14ac:dyDescent="0.25">
      <c r="B200" s="3" t="s">
        <v>292</v>
      </c>
      <c r="C200" t="s">
        <v>235</v>
      </c>
      <c r="D200" t="s">
        <v>2</v>
      </c>
      <c r="E200" t="s">
        <v>21</v>
      </c>
      <c r="F200" t="s">
        <v>1</v>
      </c>
      <c r="G200" t="s">
        <v>236</v>
      </c>
      <c r="H200" t="s">
        <v>235</v>
      </c>
      <c r="I200" t="s">
        <v>32</v>
      </c>
      <c r="J200" t="s">
        <v>42</v>
      </c>
      <c r="K200" s="3" t="str">
        <f t="shared" si="7"/>
        <v>5</v>
      </c>
      <c r="L200">
        <v>27</v>
      </c>
      <c r="M200" t="s">
        <v>243</v>
      </c>
      <c r="N200" s="1">
        <v>45467</v>
      </c>
      <c r="O200" t="s">
        <v>1</v>
      </c>
      <c r="P200" t="str">
        <f t="shared" si="6"/>
        <v>"hf.co/bartowski/gemma-2-27b-it-GGUF:Q5_K_S", # 18.88 GB</v>
      </c>
      <c r="R200">
        <v>1</v>
      </c>
    </row>
    <row r="201" spans="2:18" x14ac:dyDescent="0.25">
      <c r="B201" s="3" t="s">
        <v>292</v>
      </c>
      <c r="C201" t="s">
        <v>235</v>
      </c>
      <c r="D201" t="s">
        <v>2</v>
      </c>
      <c r="E201" t="s">
        <v>21</v>
      </c>
      <c r="F201" t="s">
        <v>1</v>
      </c>
      <c r="G201" t="s">
        <v>236</v>
      </c>
      <c r="H201" t="s">
        <v>235</v>
      </c>
      <c r="I201" t="s">
        <v>33</v>
      </c>
      <c r="J201" t="s">
        <v>3</v>
      </c>
      <c r="K201" s="3" t="str">
        <f t="shared" si="7"/>
        <v>4</v>
      </c>
      <c r="L201">
        <v>27</v>
      </c>
      <c r="M201" t="s">
        <v>244</v>
      </c>
      <c r="N201" s="1">
        <v>45467</v>
      </c>
      <c r="O201" t="s">
        <v>1</v>
      </c>
      <c r="P201" t="str">
        <f t="shared" si="6"/>
        <v>"hf.co/bartowski/gemma-2-27b-it-GGUF:Q4_K_L", # 16.93 GB</v>
      </c>
      <c r="R201">
        <v>1</v>
      </c>
    </row>
    <row r="202" spans="2:18" x14ac:dyDescent="0.25">
      <c r="B202" s="3" t="s">
        <v>292</v>
      </c>
      <c r="C202" t="s">
        <v>235</v>
      </c>
      <c r="D202" t="s">
        <v>2</v>
      </c>
      <c r="E202" t="s">
        <v>21</v>
      </c>
      <c r="F202" t="s">
        <v>1</v>
      </c>
      <c r="G202" t="s">
        <v>236</v>
      </c>
      <c r="H202" t="s">
        <v>235</v>
      </c>
      <c r="I202" t="s">
        <v>35</v>
      </c>
      <c r="J202" t="s">
        <v>3</v>
      </c>
      <c r="K202" s="3" t="str">
        <f t="shared" si="7"/>
        <v>4</v>
      </c>
      <c r="L202">
        <v>27</v>
      </c>
      <c r="M202" t="s">
        <v>245</v>
      </c>
      <c r="N202" s="1">
        <v>45467</v>
      </c>
      <c r="O202" t="s">
        <v>1</v>
      </c>
      <c r="P202" t="str">
        <f t="shared" si="6"/>
        <v>"hf.co/bartowski/gemma-2-27b-it-GGUF:Q4_K_M", # 16.65 GB</v>
      </c>
      <c r="R202">
        <v>1</v>
      </c>
    </row>
    <row r="203" spans="2:18" x14ac:dyDescent="0.25">
      <c r="B203" s="3" t="s">
        <v>292</v>
      </c>
      <c r="C203" t="s">
        <v>235</v>
      </c>
      <c r="D203" t="s">
        <v>2</v>
      </c>
      <c r="E203" t="s">
        <v>21</v>
      </c>
      <c r="F203" t="s">
        <v>1</v>
      </c>
      <c r="G203" t="s">
        <v>236</v>
      </c>
      <c r="H203" t="s">
        <v>235</v>
      </c>
      <c r="I203" t="s">
        <v>37</v>
      </c>
      <c r="J203" t="s">
        <v>3</v>
      </c>
      <c r="K203" s="3" t="str">
        <f t="shared" si="7"/>
        <v>4</v>
      </c>
      <c r="L203">
        <v>27</v>
      </c>
      <c r="M203" t="s">
        <v>246</v>
      </c>
      <c r="N203" s="1">
        <v>45467</v>
      </c>
      <c r="O203" t="s">
        <v>1</v>
      </c>
      <c r="P203" t="str">
        <f t="shared" si="6"/>
        <v>"hf.co/bartowski/gemma-2-27b-it-GGUF:Q4_K_S", # 15.74 GB</v>
      </c>
      <c r="R203">
        <v>1</v>
      </c>
    </row>
    <row r="204" spans="2:18" x14ac:dyDescent="0.25">
      <c r="B204" s="3" t="s">
        <v>292</v>
      </c>
      <c r="C204" t="s">
        <v>235</v>
      </c>
      <c r="D204" t="s">
        <v>2</v>
      </c>
      <c r="E204" t="s">
        <v>21</v>
      </c>
      <c r="F204" t="s">
        <v>1</v>
      </c>
      <c r="G204" t="s">
        <v>236</v>
      </c>
      <c r="H204" t="s">
        <v>235</v>
      </c>
      <c r="I204" t="s">
        <v>59</v>
      </c>
      <c r="J204" t="s">
        <v>3</v>
      </c>
      <c r="K204" s="3" t="str">
        <f t="shared" si="7"/>
        <v>4</v>
      </c>
      <c r="L204">
        <v>27</v>
      </c>
      <c r="M204" t="s">
        <v>147</v>
      </c>
      <c r="N204" s="1">
        <v>45467</v>
      </c>
      <c r="O204" t="s">
        <v>1</v>
      </c>
      <c r="P204" t="str">
        <f t="shared" si="6"/>
        <v>"hf.co/bartowski/gemma-2-27b-it-GGUF:IQ4_XS", # 14.81 GB</v>
      </c>
      <c r="R204">
        <v>1</v>
      </c>
    </row>
    <row r="205" spans="2:18" x14ac:dyDescent="0.25">
      <c r="B205" s="3" t="s">
        <v>292</v>
      </c>
      <c r="C205" t="s">
        <v>235</v>
      </c>
      <c r="D205" t="s">
        <v>2</v>
      </c>
      <c r="E205" t="s">
        <v>21</v>
      </c>
      <c r="F205" t="s">
        <v>1</v>
      </c>
      <c r="G205" t="s">
        <v>236</v>
      </c>
      <c r="H205" t="s">
        <v>235</v>
      </c>
      <c r="I205" t="s">
        <v>39</v>
      </c>
      <c r="J205" t="s">
        <v>43</v>
      </c>
      <c r="K205" s="3" t="str">
        <f t="shared" si="7"/>
        <v>3</v>
      </c>
      <c r="L205">
        <v>27</v>
      </c>
      <c r="M205" t="s">
        <v>147</v>
      </c>
      <c r="N205" s="1">
        <v>45467</v>
      </c>
      <c r="O205" t="s">
        <v>1</v>
      </c>
      <c r="P205" t="str">
        <f t="shared" si="6"/>
        <v>"hf.co/bartowski/gemma-2-27b-it-GGUF:Q3_K_XL", # 14.81 GB</v>
      </c>
      <c r="R205">
        <v>1</v>
      </c>
    </row>
    <row r="206" spans="2:18" x14ac:dyDescent="0.25">
      <c r="B206" s="3" t="s">
        <v>292</v>
      </c>
      <c r="C206" t="s">
        <v>235</v>
      </c>
      <c r="D206" t="s">
        <v>2</v>
      </c>
      <c r="E206" t="s">
        <v>21</v>
      </c>
      <c r="F206" t="s">
        <v>1</v>
      </c>
      <c r="G206" t="s">
        <v>236</v>
      </c>
      <c r="H206" t="s">
        <v>235</v>
      </c>
      <c r="I206" t="s">
        <v>61</v>
      </c>
      <c r="J206" t="s">
        <v>43</v>
      </c>
      <c r="K206" s="3" t="str">
        <f t="shared" si="7"/>
        <v>3</v>
      </c>
      <c r="L206">
        <v>27</v>
      </c>
      <c r="M206" t="s">
        <v>247</v>
      </c>
      <c r="N206" s="1">
        <v>45467</v>
      </c>
      <c r="O206" t="s">
        <v>1</v>
      </c>
      <c r="P206" t="str">
        <f t="shared" si="6"/>
        <v>"hf.co/bartowski/gemma-2-27b-it-GGUF:Q3_K_L", # 14.52 GB</v>
      </c>
      <c r="R206">
        <v>1</v>
      </c>
    </row>
    <row r="207" spans="2:18" x14ac:dyDescent="0.25">
      <c r="B207" s="3" t="s">
        <v>292</v>
      </c>
      <c r="C207" t="s">
        <v>235</v>
      </c>
      <c r="D207" t="s">
        <v>2</v>
      </c>
      <c r="E207" t="s">
        <v>21</v>
      </c>
      <c r="F207" t="s">
        <v>1</v>
      </c>
      <c r="G207" t="s">
        <v>236</v>
      </c>
      <c r="H207" t="s">
        <v>235</v>
      </c>
      <c r="I207" t="s">
        <v>63</v>
      </c>
      <c r="J207" t="s">
        <v>43</v>
      </c>
      <c r="K207" s="3" t="str">
        <f t="shared" si="7"/>
        <v>3</v>
      </c>
      <c r="L207">
        <v>27</v>
      </c>
      <c r="M207" t="s">
        <v>248</v>
      </c>
      <c r="N207" s="1">
        <v>45467</v>
      </c>
      <c r="O207" t="s">
        <v>1</v>
      </c>
      <c r="P207" t="str">
        <f t="shared" si="6"/>
        <v>"hf.co/bartowski/gemma-2-27b-it-GGUF:Q3_K_M", # 13.42 GB</v>
      </c>
      <c r="R207">
        <v>1</v>
      </c>
    </row>
    <row r="208" spans="2:18" x14ac:dyDescent="0.25">
      <c r="B208" s="3" t="s">
        <v>292</v>
      </c>
      <c r="C208" t="s">
        <v>235</v>
      </c>
      <c r="D208" t="s">
        <v>2</v>
      </c>
      <c r="E208" t="s">
        <v>21</v>
      </c>
      <c r="F208" t="s">
        <v>1</v>
      </c>
      <c r="G208" t="s">
        <v>236</v>
      </c>
      <c r="H208" t="s">
        <v>235</v>
      </c>
      <c r="I208" t="s">
        <v>65</v>
      </c>
      <c r="J208" t="s">
        <v>43</v>
      </c>
      <c r="K208" s="3" t="str">
        <f t="shared" si="7"/>
        <v>3</v>
      </c>
      <c r="L208">
        <v>27</v>
      </c>
      <c r="M208" t="s">
        <v>249</v>
      </c>
      <c r="N208" s="1">
        <v>45467</v>
      </c>
      <c r="O208" t="s">
        <v>1</v>
      </c>
      <c r="P208" t="str">
        <f t="shared" si="6"/>
        <v>"hf.co/bartowski/gemma-2-27b-it-GGUF:IQ3_M", # 12.45 GB</v>
      </c>
      <c r="R208">
        <v>1</v>
      </c>
    </row>
    <row r="209" spans="2:18" x14ac:dyDescent="0.25">
      <c r="B209" s="3" t="s">
        <v>292</v>
      </c>
      <c r="C209" t="s">
        <v>235</v>
      </c>
      <c r="D209" t="s">
        <v>2</v>
      </c>
      <c r="E209" t="s">
        <v>21</v>
      </c>
      <c r="F209" t="s">
        <v>1</v>
      </c>
      <c r="G209" t="s">
        <v>236</v>
      </c>
      <c r="H209" t="s">
        <v>235</v>
      </c>
      <c r="I209" t="s">
        <v>67</v>
      </c>
      <c r="J209" t="s">
        <v>43</v>
      </c>
      <c r="K209" s="3" t="str">
        <f t="shared" si="7"/>
        <v>3</v>
      </c>
      <c r="L209">
        <v>27</v>
      </c>
      <c r="M209" t="s">
        <v>250</v>
      </c>
      <c r="N209" s="1">
        <v>45467</v>
      </c>
      <c r="O209" t="s">
        <v>1</v>
      </c>
      <c r="P209" t="str">
        <f t="shared" si="6"/>
        <v>"hf.co/bartowski/gemma-2-27b-it-GGUF:Q3_K_S", # 12.17 GB</v>
      </c>
      <c r="R209">
        <v>1</v>
      </c>
    </row>
    <row r="210" spans="2:18" x14ac:dyDescent="0.25">
      <c r="B210" s="3" t="s">
        <v>292</v>
      </c>
      <c r="C210" t="s">
        <v>235</v>
      </c>
      <c r="D210" t="s">
        <v>2</v>
      </c>
      <c r="E210" t="s">
        <v>21</v>
      </c>
      <c r="F210" t="s">
        <v>1</v>
      </c>
      <c r="G210" t="s">
        <v>236</v>
      </c>
      <c r="H210" t="s">
        <v>235</v>
      </c>
      <c r="I210" t="s">
        <v>69</v>
      </c>
      <c r="J210" t="s">
        <v>43</v>
      </c>
      <c r="K210" s="3" t="str">
        <f t="shared" si="7"/>
        <v>3</v>
      </c>
      <c r="L210">
        <v>27</v>
      </c>
      <c r="M210" t="s">
        <v>251</v>
      </c>
      <c r="N210" s="1">
        <v>45467</v>
      </c>
      <c r="O210" t="s">
        <v>1</v>
      </c>
      <c r="P210" t="str">
        <f t="shared" si="6"/>
        <v>"hf.co/bartowski/gemma-2-27b-it-GGUF:IQ3_XS", # 11.55 GB</v>
      </c>
      <c r="R210">
        <v>1</v>
      </c>
    </row>
    <row r="211" spans="2:18" x14ac:dyDescent="0.25">
      <c r="B211" s="3" t="s">
        <v>292</v>
      </c>
      <c r="C211" t="s">
        <v>235</v>
      </c>
      <c r="D211" t="s">
        <v>2</v>
      </c>
      <c r="E211" t="s">
        <v>21</v>
      </c>
      <c r="F211" t="s">
        <v>1</v>
      </c>
      <c r="G211" t="s">
        <v>236</v>
      </c>
      <c r="H211" t="s">
        <v>235</v>
      </c>
      <c r="I211" t="s">
        <v>125</v>
      </c>
      <c r="J211" t="s">
        <v>43</v>
      </c>
      <c r="K211" s="3" t="str">
        <f t="shared" si="7"/>
        <v>3</v>
      </c>
      <c r="L211">
        <v>27</v>
      </c>
      <c r="M211" t="s">
        <v>252</v>
      </c>
      <c r="N211" s="1">
        <v>45467</v>
      </c>
      <c r="O211" t="s">
        <v>1</v>
      </c>
      <c r="P211" t="str">
        <f t="shared" si="6"/>
        <v>"hf.co/bartowski/gemma-2-27b-it-GGUF:IQ3_XXS", # 10.75 GB</v>
      </c>
      <c r="R211">
        <v>1</v>
      </c>
    </row>
    <row r="212" spans="2:18" x14ac:dyDescent="0.25">
      <c r="B212" s="3" t="s">
        <v>292</v>
      </c>
      <c r="C212" t="s">
        <v>235</v>
      </c>
      <c r="D212" t="s">
        <v>2</v>
      </c>
      <c r="E212" t="s">
        <v>21</v>
      </c>
      <c r="F212" t="s">
        <v>1</v>
      </c>
      <c r="G212" t="s">
        <v>236</v>
      </c>
      <c r="H212" t="s">
        <v>235</v>
      </c>
      <c r="I212" t="s">
        <v>71</v>
      </c>
      <c r="J212" t="s">
        <v>114</v>
      </c>
      <c r="K212" s="3" t="str">
        <f t="shared" si="7"/>
        <v>2</v>
      </c>
      <c r="L212">
        <v>27</v>
      </c>
      <c r="M212" t="s">
        <v>253</v>
      </c>
      <c r="N212" s="1">
        <v>45467</v>
      </c>
      <c r="O212" t="s">
        <v>1</v>
      </c>
      <c r="P212" t="str">
        <f t="shared" si="6"/>
        <v>"hf.co/bartowski/gemma-2-27b-it-GGUF:Q2_K_L", # 10.74 GB</v>
      </c>
      <c r="R212">
        <v>1</v>
      </c>
    </row>
    <row r="213" spans="2:18" x14ac:dyDescent="0.25">
      <c r="B213" s="3" t="s">
        <v>292</v>
      </c>
      <c r="C213" t="s">
        <v>235</v>
      </c>
      <c r="D213" t="s">
        <v>2</v>
      </c>
      <c r="E213" t="s">
        <v>21</v>
      </c>
      <c r="F213" t="s">
        <v>1</v>
      </c>
      <c r="G213" t="s">
        <v>236</v>
      </c>
      <c r="H213" t="s">
        <v>235</v>
      </c>
      <c r="I213" t="s">
        <v>73</v>
      </c>
      <c r="J213" t="s">
        <v>114</v>
      </c>
      <c r="K213" s="3" t="str">
        <f t="shared" si="7"/>
        <v>2</v>
      </c>
      <c r="L213">
        <v>27</v>
      </c>
      <c r="M213" t="s">
        <v>254</v>
      </c>
      <c r="N213" s="1">
        <v>45467</v>
      </c>
      <c r="O213" t="s">
        <v>1</v>
      </c>
      <c r="P213" t="str">
        <f t="shared" si="6"/>
        <v>"hf.co/bartowski/gemma-2-27b-it-GGUF:Q2_K", # 10.45 GB</v>
      </c>
      <c r="R213">
        <v>1</v>
      </c>
    </row>
    <row r="214" spans="2:18" x14ac:dyDescent="0.25">
      <c r="B214" s="3" t="s">
        <v>292</v>
      </c>
      <c r="C214" t="s">
        <v>235</v>
      </c>
      <c r="D214" t="s">
        <v>2</v>
      </c>
      <c r="E214" t="s">
        <v>21</v>
      </c>
      <c r="F214" t="s">
        <v>1</v>
      </c>
      <c r="G214" t="s">
        <v>236</v>
      </c>
      <c r="H214" t="s">
        <v>235</v>
      </c>
      <c r="I214" t="s">
        <v>75</v>
      </c>
      <c r="J214" t="s">
        <v>114</v>
      </c>
      <c r="K214" s="3" t="str">
        <f t="shared" si="7"/>
        <v>2</v>
      </c>
      <c r="L214">
        <v>27</v>
      </c>
      <c r="M214" t="s">
        <v>255</v>
      </c>
      <c r="N214" s="1">
        <v>45467</v>
      </c>
      <c r="O214" t="s">
        <v>1</v>
      </c>
      <c r="P214" t="str">
        <f t="shared" si="6"/>
        <v>"hf.co/bartowski/gemma-2-27b-it-GGUF:IQ2_M", # 9.40 GB</v>
      </c>
      <c r="R214">
        <v>1</v>
      </c>
    </row>
    <row r="215" spans="2:18" x14ac:dyDescent="0.25">
      <c r="C215" t="s">
        <v>268</v>
      </c>
      <c r="D215" t="s">
        <v>269</v>
      </c>
      <c r="E215" t="s">
        <v>21</v>
      </c>
      <c r="F215" t="s">
        <v>1</v>
      </c>
      <c r="G215" t="s">
        <v>270</v>
      </c>
      <c r="H215" t="s">
        <v>289</v>
      </c>
      <c r="I215" t="s">
        <v>13</v>
      </c>
      <c r="J215" t="s">
        <v>44</v>
      </c>
      <c r="K215" s="3" t="str">
        <f t="shared" si="7"/>
        <v>32</v>
      </c>
      <c r="L215">
        <v>4</v>
      </c>
      <c r="M215" t="s">
        <v>271</v>
      </c>
      <c r="N215" s="1">
        <v>45414</v>
      </c>
      <c r="O215" t="s">
        <v>1</v>
      </c>
      <c r="P215" t="str">
        <f t="shared" si="6"/>
        <v>"hf.co/bartowski/Phi-3-medium-4k-instruct-GGUF:F32", # 55.84 GB</v>
      </c>
      <c r="Q215">
        <v>2</v>
      </c>
    </row>
    <row r="216" spans="2:18" x14ac:dyDescent="0.25">
      <c r="B216" s="3" t="s">
        <v>295</v>
      </c>
      <c r="C216" t="s">
        <v>268</v>
      </c>
      <c r="D216" t="s">
        <v>269</v>
      </c>
      <c r="E216" t="s">
        <v>21</v>
      </c>
      <c r="F216" t="s">
        <v>1</v>
      </c>
      <c r="G216" t="s">
        <v>270</v>
      </c>
      <c r="H216" t="s">
        <v>289</v>
      </c>
      <c r="I216" t="s">
        <v>23</v>
      </c>
      <c r="J216" t="s">
        <v>4</v>
      </c>
      <c r="K216" s="3" t="str">
        <f t="shared" si="7"/>
        <v>8</v>
      </c>
      <c r="L216">
        <v>4</v>
      </c>
      <c r="M216" t="s">
        <v>272</v>
      </c>
      <c r="N216" s="1">
        <v>45414</v>
      </c>
      <c r="O216" t="s">
        <v>1</v>
      </c>
      <c r="P216" t="str">
        <f t="shared" si="6"/>
        <v>"hf.co/bartowski/Phi-3-medium-4k-instruct-GGUF:Q8_0", # 14.83 GB</v>
      </c>
      <c r="Q216" t="s">
        <v>297</v>
      </c>
      <c r="R216">
        <v>1</v>
      </c>
    </row>
    <row r="217" spans="2:18" x14ac:dyDescent="0.25">
      <c r="C217" t="s">
        <v>268</v>
      </c>
      <c r="D217" t="s">
        <v>269</v>
      </c>
      <c r="E217" t="s">
        <v>21</v>
      </c>
      <c r="F217" t="s">
        <v>1</v>
      </c>
      <c r="G217" t="s">
        <v>270</v>
      </c>
      <c r="H217" t="s">
        <v>289</v>
      </c>
      <c r="I217" t="s">
        <v>25</v>
      </c>
      <c r="J217" t="s">
        <v>41</v>
      </c>
      <c r="K217" s="3" t="str">
        <f t="shared" si="7"/>
        <v>6</v>
      </c>
      <c r="L217">
        <v>4</v>
      </c>
      <c r="M217" t="s">
        <v>273</v>
      </c>
      <c r="N217" s="1">
        <v>45414</v>
      </c>
      <c r="O217" t="s">
        <v>1</v>
      </c>
      <c r="P217" t="str">
        <f t="shared" si="6"/>
        <v>"hf.co/bartowski/Phi-3-medium-4k-instruct-GGUF:Q6_K_L", # 11.53 GB</v>
      </c>
      <c r="R217">
        <v>1</v>
      </c>
    </row>
    <row r="218" spans="2:18" x14ac:dyDescent="0.25">
      <c r="C218" t="s">
        <v>268</v>
      </c>
      <c r="D218" t="s">
        <v>269</v>
      </c>
      <c r="E218" t="s">
        <v>21</v>
      </c>
      <c r="F218" t="s">
        <v>1</v>
      </c>
      <c r="G218" t="s">
        <v>270</v>
      </c>
      <c r="H218" t="s">
        <v>289</v>
      </c>
      <c r="I218" t="s">
        <v>27</v>
      </c>
      <c r="J218" t="s">
        <v>41</v>
      </c>
      <c r="K218" s="3" t="str">
        <f t="shared" si="7"/>
        <v>6</v>
      </c>
      <c r="L218">
        <v>4</v>
      </c>
      <c r="M218" t="s">
        <v>274</v>
      </c>
      <c r="N218" s="1">
        <v>45414</v>
      </c>
      <c r="O218" t="s">
        <v>1</v>
      </c>
      <c r="P218" t="str">
        <f t="shared" si="6"/>
        <v>"hf.co/bartowski/Phi-3-medium-4k-instruct-GGUF:Q6_K", # 11.45 GB</v>
      </c>
      <c r="R218">
        <v>1</v>
      </c>
    </row>
    <row r="219" spans="2:18" x14ac:dyDescent="0.25">
      <c r="C219" t="s">
        <v>268</v>
      </c>
      <c r="D219" t="s">
        <v>269</v>
      </c>
      <c r="E219" t="s">
        <v>21</v>
      </c>
      <c r="F219" t="s">
        <v>1</v>
      </c>
      <c r="G219" t="s">
        <v>270</v>
      </c>
      <c r="H219" t="s">
        <v>289</v>
      </c>
      <c r="I219" t="s">
        <v>28</v>
      </c>
      <c r="J219" t="s">
        <v>42</v>
      </c>
      <c r="K219" s="3" t="str">
        <f t="shared" si="7"/>
        <v>5</v>
      </c>
      <c r="L219">
        <v>4</v>
      </c>
      <c r="M219" t="s">
        <v>275</v>
      </c>
      <c r="N219" s="1">
        <v>45414</v>
      </c>
      <c r="O219" t="s">
        <v>1</v>
      </c>
      <c r="P219" t="str">
        <f t="shared" si="6"/>
        <v>"hf.co/bartowski/Phi-3-medium-4k-instruct-GGUF:Q5_K_L", # 10.18 GB</v>
      </c>
      <c r="R219">
        <v>1</v>
      </c>
    </row>
    <row r="220" spans="2:18" x14ac:dyDescent="0.25">
      <c r="C220" t="s">
        <v>268</v>
      </c>
      <c r="D220" t="s">
        <v>269</v>
      </c>
      <c r="E220" t="s">
        <v>21</v>
      </c>
      <c r="F220" t="s">
        <v>1</v>
      </c>
      <c r="G220" t="s">
        <v>270</v>
      </c>
      <c r="H220" t="s">
        <v>289</v>
      </c>
      <c r="I220" t="s">
        <v>30</v>
      </c>
      <c r="J220" t="s">
        <v>42</v>
      </c>
      <c r="K220" s="3" t="str">
        <f t="shared" si="7"/>
        <v>5</v>
      </c>
      <c r="L220">
        <v>4</v>
      </c>
      <c r="M220" t="s">
        <v>276</v>
      </c>
      <c r="N220" s="1">
        <v>45414</v>
      </c>
      <c r="O220" t="s">
        <v>1</v>
      </c>
      <c r="P220" t="str">
        <f t="shared" si="6"/>
        <v>"hf.co/bartowski/Phi-3-medium-4k-instruct-GGUF:Q5_K_M", # 10.07 GB</v>
      </c>
      <c r="R220">
        <v>1</v>
      </c>
    </row>
    <row r="221" spans="2:18" x14ac:dyDescent="0.25">
      <c r="C221" t="s">
        <v>268</v>
      </c>
      <c r="D221" t="s">
        <v>269</v>
      </c>
      <c r="E221" t="s">
        <v>21</v>
      </c>
      <c r="F221" t="s">
        <v>1</v>
      </c>
      <c r="G221" t="s">
        <v>270</v>
      </c>
      <c r="H221" t="s">
        <v>289</v>
      </c>
      <c r="I221" t="s">
        <v>32</v>
      </c>
      <c r="J221" t="s">
        <v>42</v>
      </c>
      <c r="K221" s="3" t="str">
        <f t="shared" si="7"/>
        <v>5</v>
      </c>
      <c r="L221">
        <v>4</v>
      </c>
      <c r="M221" t="s">
        <v>277</v>
      </c>
      <c r="N221" s="1">
        <v>45414</v>
      </c>
      <c r="O221" t="s">
        <v>1</v>
      </c>
      <c r="P221" t="str">
        <f t="shared" si="6"/>
        <v>"hf.co/bartowski/Phi-3-medium-4k-instruct-GGUF:Q5_K_S", # 9.62 GB</v>
      </c>
      <c r="R221">
        <v>1</v>
      </c>
    </row>
    <row r="222" spans="2:18" x14ac:dyDescent="0.25">
      <c r="C222" t="s">
        <v>268</v>
      </c>
      <c r="D222" t="s">
        <v>269</v>
      </c>
      <c r="E222" t="s">
        <v>21</v>
      </c>
      <c r="F222" t="s">
        <v>1</v>
      </c>
      <c r="G222" t="s">
        <v>270</v>
      </c>
      <c r="H222" t="s">
        <v>289</v>
      </c>
      <c r="I222" t="s">
        <v>33</v>
      </c>
      <c r="J222" t="s">
        <v>3</v>
      </c>
      <c r="K222" s="3" t="str">
        <f t="shared" si="7"/>
        <v>4</v>
      </c>
      <c r="L222">
        <v>4</v>
      </c>
      <c r="M222" t="s">
        <v>278</v>
      </c>
      <c r="N222" s="1">
        <v>45414</v>
      </c>
      <c r="O222" t="s">
        <v>1</v>
      </c>
      <c r="P222" t="str">
        <f t="shared" si="6"/>
        <v>"hf.co/bartowski/Phi-3-medium-4k-instruct-GGUF:Q4_K_L", # 8.69 GB</v>
      </c>
      <c r="R222">
        <v>1</v>
      </c>
    </row>
    <row r="223" spans="2:18" x14ac:dyDescent="0.25">
      <c r="C223" t="s">
        <v>268</v>
      </c>
      <c r="D223" t="s">
        <v>269</v>
      </c>
      <c r="E223" t="s">
        <v>21</v>
      </c>
      <c r="F223" t="s">
        <v>1</v>
      </c>
      <c r="G223" t="s">
        <v>270</v>
      </c>
      <c r="H223" t="s">
        <v>289</v>
      </c>
      <c r="I223" t="s">
        <v>35</v>
      </c>
      <c r="J223" t="s">
        <v>3</v>
      </c>
      <c r="K223" s="3" t="str">
        <f t="shared" si="7"/>
        <v>4</v>
      </c>
      <c r="L223">
        <v>4</v>
      </c>
      <c r="M223" t="s">
        <v>279</v>
      </c>
      <c r="N223" s="1">
        <v>45414</v>
      </c>
      <c r="O223" t="s">
        <v>1</v>
      </c>
      <c r="P223" t="str">
        <f t="shared" si="6"/>
        <v>"hf.co/bartowski/Phi-3-medium-4k-instruct-GGUF:Q4_K_M", # 8.57 GB</v>
      </c>
      <c r="R223">
        <v>1</v>
      </c>
    </row>
    <row r="224" spans="2:18" x14ac:dyDescent="0.25">
      <c r="C224" t="s">
        <v>268</v>
      </c>
      <c r="D224" t="s">
        <v>269</v>
      </c>
      <c r="E224" t="s">
        <v>21</v>
      </c>
      <c r="F224" t="s">
        <v>1</v>
      </c>
      <c r="G224" t="s">
        <v>270</v>
      </c>
      <c r="H224" t="s">
        <v>289</v>
      </c>
      <c r="I224" t="s">
        <v>37</v>
      </c>
      <c r="J224" t="s">
        <v>3</v>
      </c>
      <c r="K224" s="3" t="str">
        <f t="shared" si="7"/>
        <v>4</v>
      </c>
      <c r="L224">
        <v>4</v>
      </c>
      <c r="M224" t="s">
        <v>280</v>
      </c>
      <c r="N224" s="1">
        <v>45414</v>
      </c>
      <c r="O224" t="s">
        <v>1</v>
      </c>
      <c r="P224" t="str">
        <f t="shared" si="6"/>
        <v>"hf.co/bartowski/Phi-3-medium-4k-instruct-GGUF:Q4_K_S", # 7.95 GB</v>
      </c>
      <c r="R224">
        <v>1</v>
      </c>
    </row>
    <row r="225" spans="3:18" x14ac:dyDescent="0.25">
      <c r="C225" t="s">
        <v>268</v>
      </c>
      <c r="D225" t="s">
        <v>269</v>
      </c>
      <c r="E225" t="s">
        <v>21</v>
      </c>
      <c r="F225" t="s">
        <v>1</v>
      </c>
      <c r="G225" t="s">
        <v>270</v>
      </c>
      <c r="H225" t="s">
        <v>289</v>
      </c>
      <c r="I225" t="s">
        <v>39</v>
      </c>
      <c r="J225" t="s">
        <v>3</v>
      </c>
      <c r="K225" s="3" t="str">
        <f t="shared" si="7"/>
        <v>4</v>
      </c>
      <c r="L225">
        <v>4</v>
      </c>
      <c r="M225" t="s">
        <v>281</v>
      </c>
      <c r="N225" s="1">
        <v>45414</v>
      </c>
      <c r="O225" t="s">
        <v>1</v>
      </c>
      <c r="P225" t="str">
        <f t="shared" si="6"/>
        <v>"hf.co/bartowski/Phi-3-medium-4k-instruct-GGUF:Q3_K_XL", # 7.63 GB</v>
      </c>
      <c r="R225">
        <v>1</v>
      </c>
    </row>
    <row r="226" spans="3:18" x14ac:dyDescent="0.25">
      <c r="C226" t="s">
        <v>268</v>
      </c>
      <c r="D226" t="s">
        <v>269</v>
      </c>
      <c r="E226" t="s">
        <v>21</v>
      </c>
      <c r="F226" t="s">
        <v>1</v>
      </c>
      <c r="G226" t="s">
        <v>270</v>
      </c>
      <c r="H226" t="s">
        <v>289</v>
      </c>
      <c r="I226" t="s">
        <v>61</v>
      </c>
      <c r="J226" t="s">
        <v>3</v>
      </c>
      <c r="K226" s="3" t="str">
        <f t="shared" si="7"/>
        <v>4</v>
      </c>
      <c r="L226">
        <v>4</v>
      </c>
      <c r="M226" t="s">
        <v>282</v>
      </c>
      <c r="N226" s="1">
        <v>45414</v>
      </c>
      <c r="O226" t="s">
        <v>1</v>
      </c>
      <c r="P226" t="str">
        <f t="shared" si="6"/>
        <v>"hf.co/bartowski/Phi-3-medium-4k-instruct-GGUF:Q3_K_L", # 7.49 GB</v>
      </c>
      <c r="R226">
        <v>1</v>
      </c>
    </row>
    <row r="227" spans="3:18" x14ac:dyDescent="0.25">
      <c r="C227" t="s">
        <v>268</v>
      </c>
      <c r="D227" t="s">
        <v>269</v>
      </c>
      <c r="E227" t="s">
        <v>21</v>
      </c>
      <c r="F227" t="s">
        <v>1</v>
      </c>
      <c r="G227" t="s">
        <v>270</v>
      </c>
      <c r="H227" t="s">
        <v>289</v>
      </c>
      <c r="I227" t="s">
        <v>59</v>
      </c>
      <c r="J227" t="s">
        <v>3</v>
      </c>
      <c r="K227" s="3" t="str">
        <f t="shared" si="7"/>
        <v>4</v>
      </c>
      <c r="L227">
        <v>4</v>
      </c>
      <c r="M227" t="s">
        <v>283</v>
      </c>
      <c r="N227" s="1">
        <v>45414</v>
      </c>
      <c r="O227" t="s">
        <v>1</v>
      </c>
      <c r="P227" t="str">
        <f t="shared" si="6"/>
        <v>"hf.co/bartowski/Phi-3-medium-4k-instruct-GGUF:IQ4_XS", # 7.47 GB</v>
      </c>
      <c r="R227">
        <v>1</v>
      </c>
    </row>
    <row r="228" spans="3:18" x14ac:dyDescent="0.25">
      <c r="C228" t="s">
        <v>268</v>
      </c>
      <c r="D228" t="s">
        <v>269</v>
      </c>
      <c r="E228" t="s">
        <v>21</v>
      </c>
      <c r="F228" t="s">
        <v>1</v>
      </c>
      <c r="G228" t="s">
        <v>270</v>
      </c>
      <c r="H228" t="s">
        <v>289</v>
      </c>
      <c r="I228" t="s">
        <v>63</v>
      </c>
      <c r="J228" t="s">
        <v>43</v>
      </c>
      <c r="K228" s="3" t="str">
        <f t="shared" si="7"/>
        <v>3</v>
      </c>
      <c r="L228">
        <v>4</v>
      </c>
      <c r="M228" t="s">
        <v>284</v>
      </c>
      <c r="N228" s="1">
        <v>45414</v>
      </c>
      <c r="O228" t="s">
        <v>1</v>
      </c>
      <c r="P228" t="str">
        <f t="shared" si="6"/>
        <v>"hf.co/bartowski/Phi-3-medium-4k-instruct-GGUF:Q3_K_M", # 6.92 GB</v>
      </c>
      <c r="R228">
        <v>1</v>
      </c>
    </row>
    <row r="229" spans="3:18" x14ac:dyDescent="0.25">
      <c r="C229" t="s">
        <v>268</v>
      </c>
      <c r="D229" t="s">
        <v>269</v>
      </c>
      <c r="E229" t="s">
        <v>21</v>
      </c>
      <c r="F229" t="s">
        <v>1</v>
      </c>
      <c r="G229" t="s">
        <v>270</v>
      </c>
      <c r="H229" t="s">
        <v>289</v>
      </c>
      <c r="I229" t="s">
        <v>65</v>
      </c>
      <c r="J229" t="s">
        <v>43</v>
      </c>
      <c r="K229" s="3" t="str">
        <f t="shared" si="7"/>
        <v>3</v>
      </c>
      <c r="L229">
        <v>4</v>
      </c>
      <c r="M229" t="s">
        <v>285</v>
      </c>
      <c r="N229" s="1">
        <v>45414</v>
      </c>
      <c r="O229" t="s">
        <v>1</v>
      </c>
      <c r="P229" t="str">
        <f t="shared" si="6"/>
        <v>"hf.co/bartowski/Phi-3-medium-4k-instruct-GGUF:IQ3_M", # 6.47 GB</v>
      </c>
      <c r="R229">
        <v>1</v>
      </c>
    </row>
    <row r="230" spans="3:18" x14ac:dyDescent="0.25">
      <c r="C230" t="s">
        <v>268</v>
      </c>
      <c r="D230" t="s">
        <v>269</v>
      </c>
      <c r="E230" t="s">
        <v>21</v>
      </c>
      <c r="F230" t="s">
        <v>1</v>
      </c>
      <c r="G230" t="s">
        <v>270</v>
      </c>
      <c r="H230" t="s">
        <v>289</v>
      </c>
      <c r="I230" t="s">
        <v>67</v>
      </c>
      <c r="J230" t="s">
        <v>43</v>
      </c>
      <c r="K230" s="3" t="str">
        <f t="shared" si="7"/>
        <v>3</v>
      </c>
      <c r="L230">
        <v>4</v>
      </c>
      <c r="M230" t="s">
        <v>29</v>
      </c>
      <c r="N230" s="1">
        <v>45414</v>
      </c>
      <c r="O230" t="s">
        <v>1</v>
      </c>
      <c r="P230" t="str">
        <f t="shared" si="6"/>
        <v>"hf.co/bartowski/Phi-3-medium-4k-instruct-GGUF:Q3_K_S", # 6.06 GB</v>
      </c>
      <c r="R230">
        <v>1</v>
      </c>
    </row>
    <row r="231" spans="3:18" x14ac:dyDescent="0.25">
      <c r="C231" t="s">
        <v>268</v>
      </c>
      <c r="D231" t="s">
        <v>269</v>
      </c>
      <c r="E231" t="s">
        <v>21</v>
      </c>
      <c r="F231" t="s">
        <v>1</v>
      </c>
      <c r="G231" t="s">
        <v>270</v>
      </c>
      <c r="H231" t="s">
        <v>289</v>
      </c>
      <c r="I231" t="s">
        <v>69</v>
      </c>
      <c r="J231" t="s">
        <v>43</v>
      </c>
      <c r="K231" s="3" t="str">
        <f t="shared" si="7"/>
        <v>3</v>
      </c>
      <c r="L231">
        <v>4</v>
      </c>
      <c r="M231" t="s">
        <v>215</v>
      </c>
      <c r="N231" s="1">
        <v>45414</v>
      </c>
      <c r="O231" t="s">
        <v>1</v>
      </c>
      <c r="P231" t="str">
        <f t="shared" si="6"/>
        <v>"hf.co/bartowski/Phi-3-medium-4k-instruct-GGUF:IQ3_XS", # 5.81 GB</v>
      </c>
      <c r="R231">
        <v>1</v>
      </c>
    </row>
    <row r="232" spans="3:18" x14ac:dyDescent="0.25">
      <c r="C232" t="s">
        <v>268</v>
      </c>
      <c r="D232" t="s">
        <v>269</v>
      </c>
      <c r="E232" t="s">
        <v>21</v>
      </c>
      <c r="F232" t="s">
        <v>1</v>
      </c>
      <c r="G232" t="s">
        <v>270</v>
      </c>
      <c r="H232" t="s">
        <v>289</v>
      </c>
      <c r="I232" t="s">
        <v>71</v>
      </c>
      <c r="J232" t="s">
        <v>114</v>
      </c>
      <c r="K232" s="3" t="str">
        <f t="shared" si="7"/>
        <v>2</v>
      </c>
      <c r="L232">
        <v>4</v>
      </c>
      <c r="M232" t="s">
        <v>286</v>
      </c>
      <c r="N232" s="1">
        <v>45414</v>
      </c>
      <c r="O232" t="s">
        <v>1</v>
      </c>
      <c r="P232" t="str">
        <f t="shared" si="6"/>
        <v>"hf.co/bartowski/Phi-3-medium-4k-instruct-GGUF:Q2_K_L", # 5.30 GB</v>
      </c>
      <c r="R232">
        <v>1</v>
      </c>
    </row>
    <row r="233" spans="3:18" x14ac:dyDescent="0.25">
      <c r="C233" t="s">
        <v>268</v>
      </c>
      <c r="D233" t="s">
        <v>269</v>
      </c>
      <c r="E233" t="s">
        <v>21</v>
      </c>
      <c r="F233" t="s">
        <v>1</v>
      </c>
      <c r="G233" t="s">
        <v>270</v>
      </c>
      <c r="H233" t="s">
        <v>289</v>
      </c>
      <c r="I233" t="s">
        <v>73</v>
      </c>
      <c r="J233" t="s">
        <v>114</v>
      </c>
      <c r="K233" s="3" t="str">
        <f t="shared" si="7"/>
        <v>2</v>
      </c>
      <c r="L233">
        <v>4</v>
      </c>
      <c r="M233" t="s">
        <v>287</v>
      </c>
      <c r="N233" s="1">
        <v>45414</v>
      </c>
      <c r="O233" t="s">
        <v>1</v>
      </c>
      <c r="P233" t="str">
        <f t="shared" si="6"/>
        <v>"hf.co/bartowski/Phi-3-medium-4k-instruct-GGUF:Q2_K", # 5.14 GB</v>
      </c>
      <c r="R233">
        <v>1</v>
      </c>
    </row>
    <row r="234" spans="3:18" x14ac:dyDescent="0.25">
      <c r="C234" t="s">
        <v>268</v>
      </c>
      <c r="D234" t="s">
        <v>269</v>
      </c>
      <c r="E234" t="s">
        <v>21</v>
      </c>
      <c r="F234" t="s">
        <v>1</v>
      </c>
      <c r="G234" t="s">
        <v>270</v>
      </c>
      <c r="H234" t="s">
        <v>289</v>
      </c>
      <c r="I234" t="s">
        <v>75</v>
      </c>
      <c r="J234" t="s">
        <v>114</v>
      </c>
      <c r="K234" s="3" t="str">
        <f t="shared" si="7"/>
        <v>2</v>
      </c>
      <c r="L234">
        <v>4</v>
      </c>
      <c r="M234" t="s">
        <v>288</v>
      </c>
      <c r="N234" s="1">
        <v>45414</v>
      </c>
      <c r="O234" t="s">
        <v>1</v>
      </c>
      <c r="P234" t="str">
        <f t="shared" si="6"/>
        <v>"hf.co/bartowski/Phi-3-medium-4k-instruct-GGUF:IQ2_M", # 4.72 GB</v>
      </c>
      <c r="R23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8"/>
  <sheetViews>
    <sheetView workbookViewId="0">
      <selection activeCell="B43" sqref="B43"/>
    </sheetView>
  </sheetViews>
  <sheetFormatPr defaultRowHeight="15" x14ac:dyDescent="0.25"/>
  <cols>
    <col min="1" max="1" width="7.140625" style="3" bestFit="1" customWidth="1"/>
    <col min="2" max="2" width="13.28515625" style="3" bestFit="1" customWidth="1"/>
    <col min="3" max="3" width="26.5703125" bestFit="1" customWidth="1"/>
    <col min="4" max="4" width="18.28515625" bestFit="1" customWidth="1"/>
    <col min="5" max="5" width="12.42578125" bestFit="1" customWidth="1"/>
    <col min="6" max="6" width="10.7109375" bestFit="1" customWidth="1"/>
    <col min="7" max="7" width="13.7109375" bestFit="1" customWidth="1"/>
    <col min="8" max="8" width="8.140625" customWidth="1"/>
    <col min="9" max="9" width="15.42578125" bestFit="1" customWidth="1"/>
    <col min="10" max="10" width="19.28515625" bestFit="1" customWidth="1"/>
    <col min="11" max="11" width="35.42578125" bestFit="1" customWidth="1"/>
  </cols>
  <sheetData>
    <row r="1" spans="1:12" x14ac:dyDescent="0.25">
      <c r="A1" s="8" t="s">
        <v>299</v>
      </c>
      <c r="B1" s="4" t="s">
        <v>644</v>
      </c>
      <c r="C1" s="4" t="s">
        <v>230</v>
      </c>
      <c r="D1" s="4" t="s">
        <v>300</v>
      </c>
      <c r="E1" s="4" t="s">
        <v>8</v>
      </c>
      <c r="F1" s="4" t="s">
        <v>9</v>
      </c>
      <c r="G1" s="4" t="s">
        <v>301</v>
      </c>
      <c r="H1" s="4" t="s">
        <v>233</v>
      </c>
      <c r="I1" s="4" t="s">
        <v>232</v>
      </c>
      <c r="J1" s="4" t="s">
        <v>231</v>
      </c>
      <c r="K1" s="9" t="s">
        <v>291</v>
      </c>
      <c r="L1" s="9" t="s">
        <v>302</v>
      </c>
    </row>
    <row r="2" spans="1:12" x14ac:dyDescent="0.25">
      <c r="B2" s="3" t="s">
        <v>117</v>
      </c>
      <c r="C2" t="s">
        <v>645</v>
      </c>
      <c r="D2" t="s">
        <v>303</v>
      </c>
      <c r="E2" t="s">
        <v>304</v>
      </c>
      <c r="F2" t="s">
        <v>305</v>
      </c>
      <c r="G2">
        <v>16</v>
      </c>
      <c r="H2">
        <v>70</v>
      </c>
      <c r="I2">
        <v>141</v>
      </c>
      <c r="J2" s="10">
        <v>45632</v>
      </c>
      <c r="K2" t="s">
        <v>306</v>
      </c>
    </row>
    <row r="3" spans="1:12" x14ac:dyDescent="0.25">
      <c r="B3" s="3" t="s">
        <v>117</v>
      </c>
      <c r="C3" t="s">
        <v>645</v>
      </c>
      <c r="D3" t="s">
        <v>307</v>
      </c>
      <c r="E3" t="s">
        <v>73</v>
      </c>
      <c r="F3" t="s">
        <v>308</v>
      </c>
      <c r="G3">
        <v>2</v>
      </c>
      <c r="H3">
        <v>70</v>
      </c>
      <c r="I3">
        <v>26</v>
      </c>
      <c r="J3" s="10">
        <v>45632</v>
      </c>
      <c r="K3" t="s">
        <v>309</v>
      </c>
    </row>
    <row r="4" spans="1:12" x14ac:dyDescent="0.25">
      <c r="B4" s="3" t="s">
        <v>117</v>
      </c>
      <c r="C4" t="s">
        <v>645</v>
      </c>
      <c r="D4" t="s">
        <v>310</v>
      </c>
      <c r="E4" t="s">
        <v>63</v>
      </c>
      <c r="F4" t="s">
        <v>311</v>
      </c>
      <c r="G4">
        <v>3</v>
      </c>
      <c r="H4">
        <v>70</v>
      </c>
      <c r="I4">
        <v>34</v>
      </c>
      <c r="J4" s="10">
        <v>45632</v>
      </c>
      <c r="K4" t="s">
        <v>312</v>
      </c>
    </row>
    <row r="5" spans="1:12" x14ac:dyDescent="0.25">
      <c r="B5" s="3" t="s">
        <v>117</v>
      </c>
      <c r="C5" t="s">
        <v>645</v>
      </c>
      <c r="D5" t="s">
        <v>313</v>
      </c>
      <c r="E5" t="s">
        <v>67</v>
      </c>
      <c r="F5" t="s">
        <v>311</v>
      </c>
      <c r="G5">
        <v>3</v>
      </c>
      <c r="H5">
        <v>70</v>
      </c>
      <c r="I5">
        <v>31</v>
      </c>
      <c r="J5" s="10">
        <v>45632</v>
      </c>
      <c r="K5" t="s">
        <v>314</v>
      </c>
    </row>
    <row r="6" spans="1:12" x14ac:dyDescent="0.25">
      <c r="B6" s="3" t="s">
        <v>117</v>
      </c>
      <c r="C6" t="s">
        <v>645</v>
      </c>
      <c r="D6" t="s">
        <v>315</v>
      </c>
      <c r="E6" t="s">
        <v>102</v>
      </c>
      <c r="F6" t="s">
        <v>316</v>
      </c>
      <c r="G6">
        <v>4</v>
      </c>
      <c r="H6">
        <v>70</v>
      </c>
      <c r="I6">
        <v>40</v>
      </c>
      <c r="J6" s="10">
        <v>45632</v>
      </c>
      <c r="K6" t="s">
        <v>317</v>
      </c>
    </row>
    <row r="7" spans="1:12" x14ac:dyDescent="0.25">
      <c r="B7" s="3" t="s">
        <v>117</v>
      </c>
      <c r="C7" t="s">
        <v>645</v>
      </c>
      <c r="D7" t="s">
        <v>318</v>
      </c>
      <c r="E7" t="s">
        <v>319</v>
      </c>
      <c r="F7" t="s">
        <v>316</v>
      </c>
      <c r="G7">
        <v>4</v>
      </c>
      <c r="H7">
        <v>70</v>
      </c>
      <c r="I7">
        <v>44</v>
      </c>
      <c r="J7" s="10">
        <v>45632</v>
      </c>
      <c r="K7" t="s">
        <v>320</v>
      </c>
    </row>
    <row r="8" spans="1:12" x14ac:dyDescent="0.25">
      <c r="B8" s="3" t="s">
        <v>117</v>
      </c>
      <c r="C8" t="s">
        <v>645</v>
      </c>
      <c r="D8" t="s">
        <v>321</v>
      </c>
      <c r="E8" t="s">
        <v>35</v>
      </c>
      <c r="F8" t="s">
        <v>316</v>
      </c>
      <c r="G8">
        <v>4</v>
      </c>
      <c r="H8">
        <v>70</v>
      </c>
      <c r="I8">
        <v>43</v>
      </c>
      <c r="J8" s="10">
        <v>45632</v>
      </c>
      <c r="K8" t="s">
        <v>322</v>
      </c>
    </row>
    <row r="9" spans="1:12" x14ac:dyDescent="0.25">
      <c r="B9" s="3" t="s">
        <v>117</v>
      </c>
      <c r="C9" t="s">
        <v>645</v>
      </c>
      <c r="D9" t="s">
        <v>323</v>
      </c>
      <c r="E9" t="s">
        <v>37</v>
      </c>
      <c r="F9" t="s">
        <v>316</v>
      </c>
      <c r="G9">
        <v>4</v>
      </c>
      <c r="H9">
        <v>70</v>
      </c>
      <c r="I9">
        <v>40</v>
      </c>
      <c r="J9" s="10">
        <v>45632</v>
      </c>
      <c r="K9" t="s">
        <v>324</v>
      </c>
    </row>
    <row r="10" spans="1:12" x14ac:dyDescent="0.25">
      <c r="B10" s="3" t="s">
        <v>117</v>
      </c>
      <c r="C10" t="s">
        <v>645</v>
      </c>
      <c r="D10" t="s">
        <v>325</v>
      </c>
      <c r="E10" t="s">
        <v>326</v>
      </c>
      <c r="F10" t="s">
        <v>327</v>
      </c>
      <c r="G10">
        <v>5</v>
      </c>
      <c r="H10">
        <v>70</v>
      </c>
      <c r="I10">
        <v>49</v>
      </c>
      <c r="J10" s="10">
        <v>45632</v>
      </c>
      <c r="K10" t="s">
        <v>328</v>
      </c>
    </row>
    <row r="11" spans="1:12" x14ac:dyDescent="0.25">
      <c r="B11" s="3" t="s">
        <v>117</v>
      </c>
      <c r="C11" t="s">
        <v>645</v>
      </c>
      <c r="D11" t="s">
        <v>329</v>
      </c>
      <c r="E11" t="s">
        <v>330</v>
      </c>
      <c r="F11" t="s">
        <v>327</v>
      </c>
      <c r="G11">
        <v>5</v>
      </c>
      <c r="H11">
        <v>70</v>
      </c>
      <c r="I11">
        <v>53</v>
      </c>
      <c r="J11" s="10">
        <v>45632</v>
      </c>
      <c r="K11" t="s">
        <v>331</v>
      </c>
    </row>
    <row r="12" spans="1:12" x14ac:dyDescent="0.25">
      <c r="B12" s="3" t="s">
        <v>117</v>
      </c>
      <c r="C12" t="s">
        <v>645</v>
      </c>
      <c r="D12" t="s">
        <v>332</v>
      </c>
      <c r="E12" t="s">
        <v>30</v>
      </c>
      <c r="F12" t="s">
        <v>327</v>
      </c>
      <c r="G12">
        <v>5</v>
      </c>
      <c r="H12">
        <v>70</v>
      </c>
      <c r="I12">
        <v>50</v>
      </c>
      <c r="J12" s="10">
        <v>45632</v>
      </c>
      <c r="K12" t="s">
        <v>333</v>
      </c>
    </row>
    <row r="13" spans="1:12" x14ac:dyDescent="0.25">
      <c r="B13" s="3" t="s">
        <v>117</v>
      </c>
      <c r="C13" t="s">
        <v>645</v>
      </c>
      <c r="D13" t="s">
        <v>334</v>
      </c>
      <c r="E13" t="s">
        <v>27</v>
      </c>
      <c r="F13" t="s">
        <v>335</v>
      </c>
      <c r="G13">
        <v>6</v>
      </c>
      <c r="H13">
        <v>70</v>
      </c>
      <c r="I13">
        <v>58</v>
      </c>
      <c r="J13" s="10">
        <v>45632</v>
      </c>
      <c r="K13" t="s">
        <v>336</v>
      </c>
    </row>
    <row r="14" spans="1:12" x14ac:dyDescent="0.25">
      <c r="B14" s="3" t="s">
        <v>117</v>
      </c>
      <c r="C14" t="s">
        <v>645</v>
      </c>
      <c r="D14" t="s">
        <v>337</v>
      </c>
      <c r="E14" t="s">
        <v>23</v>
      </c>
      <c r="F14" t="s">
        <v>338</v>
      </c>
      <c r="G14">
        <v>8</v>
      </c>
      <c r="H14">
        <v>70</v>
      </c>
      <c r="I14">
        <v>75</v>
      </c>
      <c r="J14" s="10">
        <v>45632</v>
      </c>
      <c r="K14" t="s">
        <v>339</v>
      </c>
    </row>
    <row r="15" spans="1:12" x14ac:dyDescent="0.25">
      <c r="B15" s="3" t="s">
        <v>340</v>
      </c>
      <c r="C15" t="s">
        <v>646</v>
      </c>
      <c r="D15" t="s">
        <v>341</v>
      </c>
      <c r="E15" t="s">
        <v>304</v>
      </c>
      <c r="F15" t="s">
        <v>305</v>
      </c>
      <c r="G15">
        <v>16</v>
      </c>
      <c r="H15">
        <v>1</v>
      </c>
      <c r="I15">
        <v>2.5</v>
      </c>
      <c r="J15" s="10">
        <v>45560</v>
      </c>
      <c r="K15" t="s">
        <v>342</v>
      </c>
    </row>
    <row r="16" spans="1:12" x14ac:dyDescent="0.25">
      <c r="B16" s="3" t="s">
        <v>340</v>
      </c>
      <c r="C16" t="s">
        <v>646</v>
      </c>
      <c r="D16" t="s">
        <v>343</v>
      </c>
      <c r="E16" t="s">
        <v>73</v>
      </c>
      <c r="F16" t="s">
        <v>308</v>
      </c>
      <c r="G16">
        <v>2</v>
      </c>
      <c r="H16">
        <v>1</v>
      </c>
      <c r="I16">
        <v>0.58099999999999996</v>
      </c>
      <c r="J16" s="10">
        <v>45560</v>
      </c>
      <c r="K16" t="s">
        <v>344</v>
      </c>
    </row>
    <row r="17" spans="2:11" x14ac:dyDescent="0.25">
      <c r="B17" s="3" t="s">
        <v>340</v>
      </c>
      <c r="C17" t="s">
        <v>646</v>
      </c>
      <c r="D17" t="s">
        <v>345</v>
      </c>
      <c r="E17" t="s">
        <v>61</v>
      </c>
      <c r="F17" t="s">
        <v>311</v>
      </c>
      <c r="G17">
        <v>3</v>
      </c>
      <c r="H17">
        <v>1</v>
      </c>
      <c r="I17">
        <v>0.73299999999999998</v>
      </c>
      <c r="J17" s="10">
        <v>45560</v>
      </c>
      <c r="K17" t="s">
        <v>346</v>
      </c>
    </row>
    <row r="18" spans="2:11" x14ac:dyDescent="0.25">
      <c r="B18" s="3" t="s">
        <v>340</v>
      </c>
      <c r="C18" t="s">
        <v>646</v>
      </c>
      <c r="D18" t="s">
        <v>347</v>
      </c>
      <c r="E18" t="s">
        <v>63</v>
      </c>
      <c r="F18" t="s">
        <v>311</v>
      </c>
      <c r="G18">
        <v>3</v>
      </c>
      <c r="H18">
        <v>1</v>
      </c>
      <c r="I18">
        <v>0.69099999999999995</v>
      </c>
      <c r="J18" s="10">
        <v>45560</v>
      </c>
      <c r="K18" t="s">
        <v>348</v>
      </c>
    </row>
    <row r="19" spans="2:11" x14ac:dyDescent="0.25">
      <c r="B19" s="3" t="s">
        <v>340</v>
      </c>
      <c r="C19" t="s">
        <v>646</v>
      </c>
      <c r="D19" t="s">
        <v>349</v>
      </c>
      <c r="E19" t="s">
        <v>67</v>
      </c>
      <c r="F19" t="s">
        <v>311</v>
      </c>
      <c r="G19">
        <v>3</v>
      </c>
      <c r="H19">
        <v>1</v>
      </c>
      <c r="I19">
        <v>0.64200000000000002</v>
      </c>
      <c r="J19" s="10">
        <v>45560</v>
      </c>
      <c r="K19" t="s">
        <v>350</v>
      </c>
    </row>
    <row r="20" spans="2:11" x14ac:dyDescent="0.25">
      <c r="B20" s="3" t="s">
        <v>340</v>
      </c>
      <c r="C20" t="s">
        <v>646</v>
      </c>
      <c r="D20" t="s">
        <v>351</v>
      </c>
      <c r="E20" t="s">
        <v>102</v>
      </c>
      <c r="F20" t="s">
        <v>316</v>
      </c>
      <c r="G20">
        <v>4</v>
      </c>
      <c r="H20">
        <v>1</v>
      </c>
      <c r="I20">
        <v>0.77100000000000002</v>
      </c>
      <c r="J20" s="10">
        <v>45560</v>
      </c>
      <c r="K20" t="s">
        <v>352</v>
      </c>
    </row>
    <row r="21" spans="2:11" x14ac:dyDescent="0.25">
      <c r="B21" s="3" t="s">
        <v>340</v>
      </c>
      <c r="C21" t="s">
        <v>646</v>
      </c>
      <c r="D21" t="s">
        <v>353</v>
      </c>
      <c r="E21" t="s">
        <v>319</v>
      </c>
      <c r="F21" t="s">
        <v>316</v>
      </c>
      <c r="G21">
        <v>4</v>
      </c>
      <c r="H21">
        <v>1</v>
      </c>
      <c r="I21">
        <v>0.83199999999999996</v>
      </c>
      <c r="J21" s="10">
        <v>45560</v>
      </c>
      <c r="K21" t="s">
        <v>354</v>
      </c>
    </row>
    <row r="22" spans="2:11" x14ac:dyDescent="0.25">
      <c r="B22" s="3" t="s">
        <v>340</v>
      </c>
      <c r="C22" t="s">
        <v>646</v>
      </c>
      <c r="D22" t="s">
        <v>355</v>
      </c>
      <c r="E22" t="s">
        <v>35</v>
      </c>
      <c r="F22" t="s">
        <v>316</v>
      </c>
      <c r="G22">
        <v>4</v>
      </c>
      <c r="H22">
        <v>1</v>
      </c>
      <c r="I22">
        <v>0.80800000000000005</v>
      </c>
      <c r="J22" s="10">
        <v>45560</v>
      </c>
      <c r="K22" t="s">
        <v>356</v>
      </c>
    </row>
    <row r="23" spans="2:11" x14ac:dyDescent="0.25">
      <c r="B23" s="3" t="s">
        <v>340</v>
      </c>
      <c r="C23" t="s">
        <v>646</v>
      </c>
      <c r="D23" t="s">
        <v>357</v>
      </c>
      <c r="E23" t="s">
        <v>37</v>
      </c>
      <c r="F23" t="s">
        <v>316</v>
      </c>
      <c r="G23">
        <v>4</v>
      </c>
      <c r="H23">
        <v>1</v>
      </c>
      <c r="I23">
        <v>0.77600000000000002</v>
      </c>
      <c r="J23" s="10">
        <v>45560</v>
      </c>
      <c r="K23" t="s">
        <v>358</v>
      </c>
    </row>
    <row r="24" spans="2:11" x14ac:dyDescent="0.25">
      <c r="B24" s="3" t="s">
        <v>340</v>
      </c>
      <c r="C24" t="s">
        <v>646</v>
      </c>
      <c r="D24" t="s">
        <v>359</v>
      </c>
      <c r="E24" t="s">
        <v>326</v>
      </c>
      <c r="F24" t="s">
        <v>327</v>
      </c>
      <c r="G24">
        <v>5</v>
      </c>
      <c r="H24">
        <v>1</v>
      </c>
      <c r="I24">
        <v>0.89300000000000002</v>
      </c>
      <c r="J24" s="10">
        <v>45560</v>
      </c>
      <c r="K24" t="s">
        <v>360</v>
      </c>
    </row>
    <row r="25" spans="2:11" x14ac:dyDescent="0.25">
      <c r="B25" s="3" t="s">
        <v>340</v>
      </c>
      <c r="C25" t="s">
        <v>646</v>
      </c>
      <c r="D25" t="s">
        <v>361</v>
      </c>
      <c r="E25" t="s">
        <v>330</v>
      </c>
      <c r="F25" t="s">
        <v>327</v>
      </c>
      <c r="G25">
        <v>5</v>
      </c>
      <c r="H25">
        <v>1</v>
      </c>
      <c r="I25">
        <v>0.95299999999999996</v>
      </c>
      <c r="J25" s="10">
        <v>45560</v>
      </c>
      <c r="K25" t="s">
        <v>362</v>
      </c>
    </row>
    <row r="26" spans="2:11" x14ac:dyDescent="0.25">
      <c r="B26" s="3" t="s">
        <v>340</v>
      </c>
      <c r="C26" t="s">
        <v>646</v>
      </c>
      <c r="D26" t="s">
        <v>363</v>
      </c>
      <c r="E26" t="s">
        <v>30</v>
      </c>
      <c r="F26" t="s">
        <v>327</v>
      </c>
      <c r="G26">
        <v>5</v>
      </c>
      <c r="H26">
        <v>1</v>
      </c>
      <c r="I26">
        <v>0.91200000000000003</v>
      </c>
      <c r="J26" s="10">
        <v>45560</v>
      </c>
      <c r="K26" t="s">
        <v>364</v>
      </c>
    </row>
    <row r="27" spans="2:11" x14ac:dyDescent="0.25">
      <c r="B27" s="3" t="s">
        <v>340</v>
      </c>
      <c r="C27" t="s">
        <v>646</v>
      </c>
      <c r="D27" t="s">
        <v>365</v>
      </c>
      <c r="E27" t="s">
        <v>32</v>
      </c>
      <c r="F27" t="s">
        <v>327</v>
      </c>
      <c r="G27">
        <v>5</v>
      </c>
      <c r="H27">
        <v>1</v>
      </c>
      <c r="I27">
        <v>0.89300000000000002</v>
      </c>
      <c r="J27" s="10">
        <v>45560</v>
      </c>
      <c r="K27" t="s">
        <v>366</v>
      </c>
    </row>
    <row r="28" spans="2:11" x14ac:dyDescent="0.25">
      <c r="B28" s="3" t="s">
        <v>340</v>
      </c>
      <c r="C28" t="s">
        <v>646</v>
      </c>
      <c r="D28" t="s">
        <v>367</v>
      </c>
      <c r="E28" t="s">
        <v>27</v>
      </c>
      <c r="F28" t="s">
        <v>335</v>
      </c>
      <c r="G28">
        <v>6</v>
      </c>
      <c r="H28">
        <v>1</v>
      </c>
      <c r="I28">
        <v>1</v>
      </c>
      <c r="J28" s="10">
        <v>45560</v>
      </c>
      <c r="K28" t="s">
        <v>368</v>
      </c>
    </row>
    <row r="29" spans="2:11" x14ac:dyDescent="0.25">
      <c r="B29" s="3" t="s">
        <v>340</v>
      </c>
      <c r="C29" t="s">
        <v>647</v>
      </c>
      <c r="D29" t="s">
        <v>369</v>
      </c>
      <c r="E29" t="s">
        <v>304</v>
      </c>
      <c r="F29" t="s">
        <v>305</v>
      </c>
      <c r="G29">
        <v>16</v>
      </c>
      <c r="H29">
        <v>3</v>
      </c>
      <c r="I29">
        <v>7.5</v>
      </c>
      <c r="J29" s="10">
        <v>45560</v>
      </c>
      <c r="K29" t="s">
        <v>370</v>
      </c>
    </row>
    <row r="30" spans="2:11" x14ac:dyDescent="0.25">
      <c r="B30" s="3" t="s">
        <v>340</v>
      </c>
      <c r="C30" t="s">
        <v>647</v>
      </c>
      <c r="D30" t="s">
        <v>371</v>
      </c>
      <c r="E30" t="s">
        <v>73</v>
      </c>
      <c r="F30" t="s">
        <v>308</v>
      </c>
      <c r="G30">
        <v>2</v>
      </c>
      <c r="H30">
        <v>3</v>
      </c>
      <c r="I30">
        <v>1.74</v>
      </c>
      <c r="J30" s="10">
        <v>45560</v>
      </c>
      <c r="K30" t="s">
        <v>372</v>
      </c>
    </row>
    <row r="31" spans="2:11" x14ac:dyDescent="0.25">
      <c r="B31" s="3" t="s">
        <v>340</v>
      </c>
      <c r="C31" t="s">
        <v>647</v>
      </c>
      <c r="D31" t="s">
        <v>373</v>
      </c>
      <c r="E31" t="s">
        <v>61</v>
      </c>
      <c r="F31" t="s">
        <v>311</v>
      </c>
      <c r="G31">
        <v>3</v>
      </c>
      <c r="H31">
        <v>3</v>
      </c>
      <c r="I31">
        <v>2.19</v>
      </c>
      <c r="J31" s="10">
        <v>45560</v>
      </c>
      <c r="K31" t="s">
        <v>374</v>
      </c>
    </row>
    <row r="32" spans="2:11" x14ac:dyDescent="0.25">
      <c r="B32" s="3" t="s">
        <v>340</v>
      </c>
      <c r="C32" t="s">
        <v>647</v>
      </c>
      <c r="D32" t="s">
        <v>375</v>
      </c>
      <c r="E32" t="s">
        <v>63</v>
      </c>
      <c r="F32" t="s">
        <v>311</v>
      </c>
      <c r="G32">
        <v>3</v>
      </c>
      <c r="H32">
        <v>3</v>
      </c>
      <c r="I32">
        <v>2.0699999999999998</v>
      </c>
      <c r="J32" s="10">
        <v>45560</v>
      </c>
      <c r="K32" t="s">
        <v>376</v>
      </c>
    </row>
    <row r="33" spans="2:11" x14ac:dyDescent="0.25">
      <c r="B33" s="3" t="s">
        <v>340</v>
      </c>
      <c r="C33" t="s">
        <v>647</v>
      </c>
      <c r="D33" t="s">
        <v>377</v>
      </c>
      <c r="E33" t="s">
        <v>67</v>
      </c>
      <c r="F33" t="s">
        <v>311</v>
      </c>
      <c r="G33">
        <v>3</v>
      </c>
      <c r="H33">
        <v>3</v>
      </c>
      <c r="I33">
        <v>1.92</v>
      </c>
      <c r="J33" s="10">
        <v>45560</v>
      </c>
      <c r="K33" t="s">
        <v>378</v>
      </c>
    </row>
    <row r="34" spans="2:11" x14ac:dyDescent="0.25">
      <c r="B34" s="3" t="s">
        <v>340</v>
      </c>
      <c r="C34" t="s">
        <v>647</v>
      </c>
      <c r="D34" t="s">
        <v>379</v>
      </c>
      <c r="E34" t="s">
        <v>102</v>
      </c>
      <c r="F34" t="s">
        <v>316</v>
      </c>
      <c r="G34">
        <v>4</v>
      </c>
      <c r="H34">
        <v>3</v>
      </c>
      <c r="I34">
        <v>2.31</v>
      </c>
      <c r="J34" s="10">
        <v>45560</v>
      </c>
      <c r="K34" t="s">
        <v>380</v>
      </c>
    </row>
    <row r="35" spans="2:11" x14ac:dyDescent="0.25">
      <c r="B35" s="3" t="s">
        <v>340</v>
      </c>
      <c r="C35" t="s">
        <v>647</v>
      </c>
      <c r="D35" t="s">
        <v>381</v>
      </c>
      <c r="E35" t="s">
        <v>319</v>
      </c>
      <c r="F35" t="s">
        <v>316</v>
      </c>
      <c r="G35">
        <v>4</v>
      </c>
      <c r="H35">
        <v>3</v>
      </c>
      <c r="I35">
        <v>2.5</v>
      </c>
      <c r="J35" s="10">
        <v>45560</v>
      </c>
      <c r="K35" t="s">
        <v>382</v>
      </c>
    </row>
    <row r="36" spans="2:11" x14ac:dyDescent="0.25">
      <c r="B36" s="3" t="s">
        <v>340</v>
      </c>
      <c r="C36" t="s">
        <v>647</v>
      </c>
      <c r="D36" t="s">
        <v>383</v>
      </c>
      <c r="E36" t="s">
        <v>35</v>
      </c>
      <c r="F36" t="s">
        <v>316</v>
      </c>
      <c r="G36">
        <v>4</v>
      </c>
      <c r="H36">
        <v>3</v>
      </c>
      <c r="I36">
        <v>2.42</v>
      </c>
      <c r="J36" s="10">
        <v>45560</v>
      </c>
      <c r="K36" t="s">
        <v>384</v>
      </c>
    </row>
    <row r="37" spans="2:11" x14ac:dyDescent="0.25">
      <c r="B37" s="3" t="s">
        <v>340</v>
      </c>
      <c r="C37" t="s">
        <v>647</v>
      </c>
      <c r="D37" t="s">
        <v>385</v>
      </c>
      <c r="E37" t="s">
        <v>37</v>
      </c>
      <c r="F37" t="s">
        <v>316</v>
      </c>
      <c r="G37">
        <v>4</v>
      </c>
      <c r="H37">
        <v>3</v>
      </c>
      <c r="I37">
        <v>2.3199999999999998</v>
      </c>
      <c r="J37" s="10">
        <v>45560</v>
      </c>
      <c r="K37" t="s">
        <v>386</v>
      </c>
    </row>
    <row r="38" spans="2:11" x14ac:dyDescent="0.25">
      <c r="B38" s="3" t="s">
        <v>340</v>
      </c>
      <c r="C38" t="s">
        <v>647</v>
      </c>
      <c r="D38" t="s">
        <v>387</v>
      </c>
      <c r="E38" t="s">
        <v>326</v>
      </c>
      <c r="F38" t="s">
        <v>327</v>
      </c>
      <c r="G38">
        <v>5</v>
      </c>
      <c r="H38">
        <v>3</v>
      </c>
      <c r="I38">
        <v>2.68</v>
      </c>
      <c r="J38" s="10">
        <v>45560</v>
      </c>
      <c r="K38" t="s">
        <v>388</v>
      </c>
    </row>
    <row r="39" spans="2:11" x14ac:dyDescent="0.25">
      <c r="B39" s="3" t="s">
        <v>340</v>
      </c>
      <c r="C39" t="s">
        <v>647</v>
      </c>
      <c r="D39" t="s">
        <v>389</v>
      </c>
      <c r="E39" t="s">
        <v>330</v>
      </c>
      <c r="F39" t="s">
        <v>327</v>
      </c>
      <c r="G39">
        <v>5</v>
      </c>
      <c r="H39">
        <v>3</v>
      </c>
      <c r="I39">
        <v>2.86</v>
      </c>
      <c r="J39" s="10">
        <v>45560</v>
      </c>
      <c r="K39" t="s">
        <v>390</v>
      </c>
    </row>
    <row r="40" spans="2:11" x14ac:dyDescent="0.25">
      <c r="B40" s="3" t="s">
        <v>340</v>
      </c>
      <c r="C40" t="s">
        <v>647</v>
      </c>
      <c r="D40" t="s">
        <v>391</v>
      </c>
      <c r="E40" t="s">
        <v>30</v>
      </c>
      <c r="F40" t="s">
        <v>327</v>
      </c>
      <c r="G40">
        <v>5</v>
      </c>
      <c r="H40">
        <v>3</v>
      </c>
      <c r="I40">
        <v>2.74</v>
      </c>
      <c r="J40" s="10">
        <v>45560</v>
      </c>
      <c r="K40" t="s">
        <v>392</v>
      </c>
    </row>
    <row r="41" spans="2:11" x14ac:dyDescent="0.25">
      <c r="B41" s="3" t="s">
        <v>340</v>
      </c>
      <c r="C41" t="s">
        <v>647</v>
      </c>
      <c r="D41" t="s">
        <v>393</v>
      </c>
      <c r="E41" t="s">
        <v>32</v>
      </c>
      <c r="F41" t="s">
        <v>327</v>
      </c>
      <c r="G41">
        <v>5</v>
      </c>
      <c r="H41">
        <v>3</v>
      </c>
      <c r="I41">
        <v>2.68</v>
      </c>
      <c r="J41" s="10">
        <v>45560</v>
      </c>
      <c r="K41" t="s">
        <v>394</v>
      </c>
    </row>
    <row r="42" spans="2:11" x14ac:dyDescent="0.25">
      <c r="B42" s="3" t="s">
        <v>340</v>
      </c>
      <c r="C42" t="s">
        <v>647</v>
      </c>
      <c r="D42" t="s">
        <v>395</v>
      </c>
      <c r="E42" t="s">
        <v>27</v>
      </c>
      <c r="F42" t="s">
        <v>335</v>
      </c>
      <c r="G42">
        <v>6</v>
      </c>
      <c r="H42">
        <v>3</v>
      </c>
      <c r="I42">
        <v>3</v>
      </c>
      <c r="J42" s="10">
        <v>45560</v>
      </c>
      <c r="K42" t="s">
        <v>396</v>
      </c>
    </row>
    <row r="43" spans="2:11" x14ac:dyDescent="0.25">
      <c r="B43" s="3" t="s">
        <v>86</v>
      </c>
      <c r="C43" t="s">
        <v>648</v>
      </c>
      <c r="D43" t="s">
        <v>397</v>
      </c>
      <c r="E43" t="s">
        <v>304</v>
      </c>
      <c r="F43" t="s">
        <v>305</v>
      </c>
      <c r="G43">
        <v>16</v>
      </c>
      <c r="H43">
        <v>3.8</v>
      </c>
      <c r="I43">
        <v>7.6</v>
      </c>
      <c r="J43" s="10">
        <v>45505</v>
      </c>
      <c r="K43" t="s">
        <v>398</v>
      </c>
    </row>
    <row r="44" spans="2:11" x14ac:dyDescent="0.25">
      <c r="B44" s="3" t="s">
        <v>86</v>
      </c>
      <c r="C44" t="s">
        <v>648</v>
      </c>
      <c r="D44" t="s">
        <v>399</v>
      </c>
      <c r="E44" t="s">
        <v>73</v>
      </c>
      <c r="F44" t="s">
        <v>308</v>
      </c>
      <c r="G44">
        <v>2</v>
      </c>
      <c r="H44">
        <v>3.8</v>
      </c>
      <c r="I44">
        <v>1.4</v>
      </c>
      <c r="J44" s="10">
        <v>45505</v>
      </c>
      <c r="K44" t="s">
        <v>400</v>
      </c>
    </row>
    <row r="45" spans="2:11" x14ac:dyDescent="0.25">
      <c r="B45" s="3" t="s">
        <v>86</v>
      </c>
      <c r="C45" t="s">
        <v>648</v>
      </c>
      <c r="D45" t="s">
        <v>401</v>
      </c>
      <c r="E45" t="s">
        <v>61</v>
      </c>
      <c r="F45" t="s">
        <v>311</v>
      </c>
      <c r="G45">
        <v>3</v>
      </c>
      <c r="H45">
        <v>3.8</v>
      </c>
      <c r="I45">
        <v>2.1</v>
      </c>
      <c r="J45" s="10">
        <v>45505</v>
      </c>
      <c r="K45" t="s">
        <v>402</v>
      </c>
    </row>
    <row r="46" spans="2:11" x14ac:dyDescent="0.25">
      <c r="B46" s="3" t="s">
        <v>86</v>
      </c>
      <c r="C46" t="s">
        <v>648</v>
      </c>
      <c r="D46" t="s">
        <v>403</v>
      </c>
      <c r="E46" t="s">
        <v>63</v>
      </c>
      <c r="F46" t="s">
        <v>311</v>
      </c>
      <c r="G46">
        <v>3</v>
      </c>
      <c r="H46">
        <v>3.8</v>
      </c>
      <c r="I46">
        <v>2</v>
      </c>
      <c r="J46" s="10">
        <v>45505</v>
      </c>
      <c r="K46" t="s">
        <v>404</v>
      </c>
    </row>
    <row r="47" spans="2:11" x14ac:dyDescent="0.25">
      <c r="B47" s="3" t="s">
        <v>86</v>
      </c>
      <c r="C47" t="s">
        <v>648</v>
      </c>
      <c r="D47" t="s">
        <v>405</v>
      </c>
      <c r="E47" t="s">
        <v>67</v>
      </c>
      <c r="F47" t="s">
        <v>311</v>
      </c>
      <c r="G47">
        <v>3</v>
      </c>
      <c r="H47">
        <v>3.8</v>
      </c>
      <c r="I47">
        <v>1.7</v>
      </c>
      <c r="J47" s="10">
        <v>45505</v>
      </c>
      <c r="K47" t="s">
        <v>406</v>
      </c>
    </row>
    <row r="48" spans="2:11" x14ac:dyDescent="0.25">
      <c r="B48" s="3" t="s">
        <v>86</v>
      </c>
      <c r="C48" t="s">
        <v>648</v>
      </c>
      <c r="D48" t="s">
        <v>407</v>
      </c>
      <c r="E48" t="s">
        <v>102</v>
      </c>
      <c r="F48" t="s">
        <v>316</v>
      </c>
      <c r="G48">
        <v>4</v>
      </c>
      <c r="H48">
        <v>3.8</v>
      </c>
      <c r="I48">
        <v>2.2000000000000002</v>
      </c>
      <c r="J48" s="10">
        <v>45505</v>
      </c>
      <c r="K48" t="s">
        <v>408</v>
      </c>
    </row>
    <row r="49" spans="2:11" x14ac:dyDescent="0.25">
      <c r="B49" s="3" t="s">
        <v>86</v>
      </c>
      <c r="C49" t="s">
        <v>648</v>
      </c>
      <c r="D49" t="s">
        <v>409</v>
      </c>
      <c r="E49" t="s">
        <v>319</v>
      </c>
      <c r="F49" t="s">
        <v>316</v>
      </c>
      <c r="G49">
        <v>4</v>
      </c>
      <c r="H49">
        <v>3.8</v>
      </c>
      <c r="I49">
        <v>2.4</v>
      </c>
      <c r="J49" s="10">
        <v>45505</v>
      </c>
      <c r="K49" t="s">
        <v>410</v>
      </c>
    </row>
    <row r="50" spans="2:11" x14ac:dyDescent="0.25">
      <c r="B50" s="3" t="s">
        <v>86</v>
      </c>
      <c r="C50" t="s">
        <v>648</v>
      </c>
      <c r="D50" t="s">
        <v>411</v>
      </c>
      <c r="E50" t="s">
        <v>35</v>
      </c>
      <c r="F50" t="s">
        <v>316</v>
      </c>
      <c r="G50">
        <v>4</v>
      </c>
      <c r="H50">
        <v>3.8</v>
      </c>
      <c r="I50">
        <v>2.4</v>
      </c>
      <c r="J50" s="10">
        <v>45505</v>
      </c>
      <c r="K50" t="s">
        <v>412</v>
      </c>
    </row>
    <row r="51" spans="2:11" x14ac:dyDescent="0.25">
      <c r="B51" s="3" t="s">
        <v>86</v>
      </c>
      <c r="C51" t="s">
        <v>648</v>
      </c>
      <c r="D51" t="s">
        <v>413</v>
      </c>
      <c r="E51" t="s">
        <v>37</v>
      </c>
      <c r="F51" t="s">
        <v>316</v>
      </c>
      <c r="G51">
        <v>4</v>
      </c>
      <c r="H51">
        <v>3.8</v>
      </c>
      <c r="I51">
        <v>2.2000000000000002</v>
      </c>
      <c r="J51" s="10">
        <v>45505</v>
      </c>
      <c r="K51" t="s">
        <v>414</v>
      </c>
    </row>
    <row r="52" spans="2:11" x14ac:dyDescent="0.25">
      <c r="B52" s="3" t="s">
        <v>86</v>
      </c>
      <c r="C52" t="s">
        <v>648</v>
      </c>
      <c r="D52" t="s">
        <v>415</v>
      </c>
      <c r="E52" t="s">
        <v>326</v>
      </c>
      <c r="F52" t="s">
        <v>327</v>
      </c>
      <c r="G52">
        <v>5</v>
      </c>
      <c r="H52">
        <v>3.8</v>
      </c>
      <c r="I52">
        <v>2.6</v>
      </c>
      <c r="J52" s="10">
        <v>45505</v>
      </c>
      <c r="K52" t="s">
        <v>416</v>
      </c>
    </row>
    <row r="53" spans="2:11" x14ac:dyDescent="0.25">
      <c r="B53" s="3" t="s">
        <v>86</v>
      </c>
      <c r="C53" t="s">
        <v>648</v>
      </c>
      <c r="D53" t="s">
        <v>417</v>
      </c>
      <c r="E53" t="s">
        <v>330</v>
      </c>
      <c r="F53" t="s">
        <v>327</v>
      </c>
      <c r="G53">
        <v>5</v>
      </c>
      <c r="H53">
        <v>3.8</v>
      </c>
      <c r="I53">
        <v>2.9</v>
      </c>
      <c r="J53" s="10">
        <v>45505</v>
      </c>
      <c r="K53" t="s">
        <v>418</v>
      </c>
    </row>
    <row r="54" spans="2:11" x14ac:dyDescent="0.25">
      <c r="B54" s="3" t="s">
        <v>86</v>
      </c>
      <c r="C54" t="s">
        <v>648</v>
      </c>
      <c r="D54" t="s">
        <v>419</v>
      </c>
      <c r="E54" t="s">
        <v>30</v>
      </c>
      <c r="F54" t="s">
        <v>327</v>
      </c>
      <c r="G54">
        <v>5</v>
      </c>
      <c r="H54">
        <v>3.8</v>
      </c>
      <c r="I54">
        <v>2.8</v>
      </c>
      <c r="J54" s="10">
        <v>45505</v>
      </c>
      <c r="K54" t="s">
        <v>420</v>
      </c>
    </row>
    <row r="55" spans="2:11" x14ac:dyDescent="0.25">
      <c r="B55" s="3" t="s">
        <v>86</v>
      </c>
      <c r="C55" t="s">
        <v>648</v>
      </c>
      <c r="D55" t="s">
        <v>421</v>
      </c>
      <c r="E55" t="s">
        <v>32</v>
      </c>
      <c r="F55" t="s">
        <v>327</v>
      </c>
      <c r="G55">
        <v>5</v>
      </c>
      <c r="H55">
        <v>3.8</v>
      </c>
      <c r="I55">
        <v>2.6</v>
      </c>
      <c r="J55" s="10">
        <v>45505</v>
      </c>
      <c r="K55" t="s">
        <v>422</v>
      </c>
    </row>
    <row r="56" spans="2:11" x14ac:dyDescent="0.25">
      <c r="B56" s="3" t="s">
        <v>86</v>
      </c>
      <c r="C56" t="s">
        <v>648</v>
      </c>
      <c r="D56" t="s">
        <v>423</v>
      </c>
      <c r="E56" t="s">
        <v>27</v>
      </c>
      <c r="F56" t="s">
        <v>335</v>
      </c>
      <c r="G56">
        <v>6</v>
      </c>
      <c r="H56">
        <v>3.8</v>
      </c>
      <c r="I56">
        <v>3.1</v>
      </c>
      <c r="J56" s="10">
        <v>45505</v>
      </c>
      <c r="K56" t="s">
        <v>424</v>
      </c>
    </row>
    <row r="57" spans="2:11" x14ac:dyDescent="0.25">
      <c r="B57" s="3" t="s">
        <v>86</v>
      </c>
      <c r="C57" t="s">
        <v>648</v>
      </c>
      <c r="D57" t="s">
        <v>425</v>
      </c>
      <c r="E57" t="s">
        <v>23</v>
      </c>
      <c r="F57" t="s">
        <v>338</v>
      </c>
      <c r="G57">
        <v>8</v>
      </c>
      <c r="H57">
        <v>3.8</v>
      </c>
      <c r="I57">
        <v>5.2</v>
      </c>
      <c r="J57" s="10">
        <v>45505</v>
      </c>
      <c r="K57" t="s">
        <v>426</v>
      </c>
    </row>
    <row r="58" spans="2:11" x14ac:dyDescent="0.25">
      <c r="B58" s="3" t="s">
        <v>129</v>
      </c>
      <c r="C58" t="s">
        <v>649</v>
      </c>
      <c r="D58" t="s">
        <v>427</v>
      </c>
      <c r="E58" t="s">
        <v>304</v>
      </c>
      <c r="F58" t="s">
        <v>428</v>
      </c>
      <c r="G58">
        <v>32</v>
      </c>
      <c r="H58">
        <v>32</v>
      </c>
      <c r="I58">
        <v>20</v>
      </c>
      <c r="J58" s="10">
        <v>45554</v>
      </c>
      <c r="K58" t="s">
        <v>429</v>
      </c>
    </row>
    <row r="59" spans="2:11" x14ac:dyDescent="0.25">
      <c r="B59" s="3" t="s">
        <v>129</v>
      </c>
      <c r="C59" t="s">
        <v>649</v>
      </c>
      <c r="D59" t="s">
        <v>430</v>
      </c>
      <c r="E59" t="s">
        <v>305</v>
      </c>
      <c r="F59" t="s">
        <v>305</v>
      </c>
      <c r="G59">
        <v>16</v>
      </c>
      <c r="H59">
        <v>32</v>
      </c>
      <c r="I59">
        <v>66</v>
      </c>
      <c r="J59" s="10">
        <v>45554</v>
      </c>
      <c r="K59" t="s">
        <v>431</v>
      </c>
    </row>
    <row r="60" spans="2:11" x14ac:dyDescent="0.25">
      <c r="B60" s="3" t="s">
        <v>129</v>
      </c>
      <c r="C60" t="s">
        <v>649</v>
      </c>
      <c r="D60" t="s">
        <v>432</v>
      </c>
      <c r="E60" t="s">
        <v>73</v>
      </c>
      <c r="F60" t="s">
        <v>308</v>
      </c>
      <c r="G60">
        <v>2</v>
      </c>
      <c r="H60">
        <v>32</v>
      </c>
      <c r="I60">
        <v>12</v>
      </c>
      <c r="J60" s="10">
        <v>45554</v>
      </c>
      <c r="K60" t="s">
        <v>433</v>
      </c>
    </row>
    <row r="61" spans="2:11" x14ac:dyDescent="0.25">
      <c r="B61" s="3" t="s">
        <v>129</v>
      </c>
      <c r="C61" t="s">
        <v>649</v>
      </c>
      <c r="D61" t="s">
        <v>434</v>
      </c>
      <c r="E61" t="s">
        <v>61</v>
      </c>
      <c r="F61" t="s">
        <v>311</v>
      </c>
      <c r="G61">
        <v>3</v>
      </c>
      <c r="H61">
        <v>32</v>
      </c>
      <c r="I61">
        <v>17</v>
      </c>
      <c r="J61" s="10">
        <v>45554</v>
      </c>
      <c r="K61" t="s">
        <v>435</v>
      </c>
    </row>
    <row r="62" spans="2:11" x14ac:dyDescent="0.25">
      <c r="B62" s="3" t="s">
        <v>129</v>
      </c>
      <c r="C62" t="s">
        <v>649</v>
      </c>
      <c r="D62" t="s">
        <v>436</v>
      </c>
      <c r="E62" t="s">
        <v>63</v>
      </c>
      <c r="F62" t="s">
        <v>311</v>
      </c>
      <c r="G62">
        <v>3</v>
      </c>
      <c r="H62">
        <v>32</v>
      </c>
      <c r="I62">
        <v>16</v>
      </c>
      <c r="J62" s="10">
        <v>45554</v>
      </c>
      <c r="K62" t="s">
        <v>437</v>
      </c>
    </row>
    <row r="63" spans="2:11" x14ac:dyDescent="0.25">
      <c r="B63" s="3" t="s">
        <v>129</v>
      </c>
      <c r="C63" t="s">
        <v>649</v>
      </c>
      <c r="D63" t="s">
        <v>438</v>
      </c>
      <c r="E63" t="s">
        <v>67</v>
      </c>
      <c r="F63" t="s">
        <v>311</v>
      </c>
      <c r="G63">
        <v>3</v>
      </c>
      <c r="H63">
        <v>32</v>
      </c>
      <c r="I63">
        <v>14</v>
      </c>
      <c r="J63" s="10">
        <v>45554</v>
      </c>
      <c r="K63" t="s">
        <v>439</v>
      </c>
    </row>
    <row r="64" spans="2:11" x14ac:dyDescent="0.25">
      <c r="B64" s="3" t="s">
        <v>129</v>
      </c>
      <c r="C64" t="s">
        <v>649</v>
      </c>
      <c r="D64" t="s">
        <v>440</v>
      </c>
      <c r="E64" t="s">
        <v>102</v>
      </c>
      <c r="F64" t="s">
        <v>316</v>
      </c>
      <c r="G64">
        <v>4</v>
      </c>
      <c r="H64">
        <v>32</v>
      </c>
      <c r="I64">
        <v>19</v>
      </c>
      <c r="J64" s="10">
        <v>45554</v>
      </c>
      <c r="K64" t="s">
        <v>441</v>
      </c>
    </row>
    <row r="65" spans="2:11" x14ac:dyDescent="0.25">
      <c r="B65" s="3" t="s">
        <v>129</v>
      </c>
      <c r="C65" t="s">
        <v>649</v>
      </c>
      <c r="D65" t="s">
        <v>442</v>
      </c>
      <c r="E65" t="s">
        <v>319</v>
      </c>
      <c r="F65" t="s">
        <v>316</v>
      </c>
      <c r="G65">
        <v>4</v>
      </c>
      <c r="H65">
        <v>32</v>
      </c>
      <c r="I65">
        <v>21</v>
      </c>
      <c r="J65" s="10">
        <v>45554</v>
      </c>
      <c r="K65" t="s">
        <v>443</v>
      </c>
    </row>
    <row r="66" spans="2:11" x14ac:dyDescent="0.25">
      <c r="B66" s="3" t="s">
        <v>129</v>
      </c>
      <c r="C66" t="s">
        <v>649</v>
      </c>
      <c r="D66" t="s">
        <v>444</v>
      </c>
      <c r="E66" t="s">
        <v>35</v>
      </c>
      <c r="F66" t="s">
        <v>316</v>
      </c>
      <c r="G66">
        <v>4</v>
      </c>
      <c r="H66">
        <v>32</v>
      </c>
      <c r="I66">
        <v>20</v>
      </c>
      <c r="J66" s="10">
        <v>45554</v>
      </c>
      <c r="K66" t="s">
        <v>445</v>
      </c>
    </row>
    <row r="67" spans="2:11" x14ac:dyDescent="0.25">
      <c r="B67" s="3" t="s">
        <v>129</v>
      </c>
      <c r="C67" t="s">
        <v>649</v>
      </c>
      <c r="D67" t="s">
        <v>446</v>
      </c>
      <c r="E67" t="s">
        <v>37</v>
      </c>
      <c r="F67" t="s">
        <v>316</v>
      </c>
      <c r="G67">
        <v>4</v>
      </c>
      <c r="H67">
        <v>32</v>
      </c>
      <c r="I67">
        <v>19</v>
      </c>
      <c r="J67" s="10">
        <v>45554</v>
      </c>
      <c r="K67" t="s">
        <v>447</v>
      </c>
    </row>
    <row r="68" spans="2:11" x14ac:dyDescent="0.25">
      <c r="B68" s="3" t="s">
        <v>129</v>
      </c>
      <c r="C68" t="s">
        <v>649</v>
      </c>
      <c r="D68" t="s">
        <v>448</v>
      </c>
      <c r="E68" t="s">
        <v>326</v>
      </c>
      <c r="F68" t="s">
        <v>327</v>
      </c>
      <c r="G68">
        <v>5</v>
      </c>
      <c r="H68">
        <v>32</v>
      </c>
      <c r="I68">
        <v>23</v>
      </c>
      <c r="J68" s="10">
        <v>45554</v>
      </c>
      <c r="K68" t="s">
        <v>449</v>
      </c>
    </row>
    <row r="69" spans="2:11" x14ac:dyDescent="0.25">
      <c r="B69" s="3" t="s">
        <v>129</v>
      </c>
      <c r="C69" t="s">
        <v>649</v>
      </c>
      <c r="D69" t="s">
        <v>450</v>
      </c>
      <c r="E69" t="s">
        <v>330</v>
      </c>
      <c r="F69" t="s">
        <v>327</v>
      </c>
      <c r="G69">
        <v>5</v>
      </c>
      <c r="H69">
        <v>32</v>
      </c>
      <c r="I69">
        <v>25</v>
      </c>
      <c r="J69" s="10">
        <v>45554</v>
      </c>
      <c r="K69" t="s">
        <v>451</v>
      </c>
    </row>
    <row r="70" spans="2:11" x14ac:dyDescent="0.25">
      <c r="B70" s="3" t="s">
        <v>129</v>
      </c>
      <c r="C70" t="s">
        <v>649</v>
      </c>
      <c r="D70" t="s">
        <v>452</v>
      </c>
      <c r="E70" t="s">
        <v>30</v>
      </c>
      <c r="F70" t="s">
        <v>327</v>
      </c>
      <c r="G70">
        <v>5</v>
      </c>
      <c r="H70">
        <v>32</v>
      </c>
      <c r="I70">
        <v>23</v>
      </c>
      <c r="J70" s="10">
        <v>45554</v>
      </c>
      <c r="K70" t="s">
        <v>453</v>
      </c>
    </row>
    <row r="71" spans="2:11" x14ac:dyDescent="0.25">
      <c r="B71" s="3" t="s">
        <v>129</v>
      </c>
      <c r="C71" t="s">
        <v>649</v>
      </c>
      <c r="D71" t="s">
        <v>454</v>
      </c>
      <c r="E71" t="s">
        <v>32</v>
      </c>
      <c r="F71" t="s">
        <v>327</v>
      </c>
      <c r="G71">
        <v>5</v>
      </c>
      <c r="H71">
        <v>32</v>
      </c>
      <c r="I71">
        <v>23</v>
      </c>
      <c r="J71" s="10">
        <v>45554</v>
      </c>
      <c r="K71" t="s">
        <v>455</v>
      </c>
    </row>
    <row r="72" spans="2:11" x14ac:dyDescent="0.25">
      <c r="B72" s="3" t="s">
        <v>129</v>
      </c>
      <c r="C72" t="s">
        <v>649</v>
      </c>
      <c r="D72" t="s">
        <v>456</v>
      </c>
      <c r="E72" t="s">
        <v>27</v>
      </c>
      <c r="F72" t="s">
        <v>335</v>
      </c>
      <c r="G72">
        <v>6</v>
      </c>
      <c r="H72">
        <v>32</v>
      </c>
      <c r="I72">
        <v>27</v>
      </c>
      <c r="J72" s="10">
        <v>45554</v>
      </c>
      <c r="K72" t="s">
        <v>457</v>
      </c>
    </row>
    <row r="73" spans="2:11" x14ac:dyDescent="0.25">
      <c r="B73" s="3" t="s">
        <v>129</v>
      </c>
      <c r="C73" t="s">
        <v>649</v>
      </c>
      <c r="D73" t="s">
        <v>458</v>
      </c>
      <c r="E73" t="s">
        <v>23</v>
      </c>
      <c r="F73" t="s">
        <v>338</v>
      </c>
      <c r="G73">
        <v>8</v>
      </c>
      <c r="H73">
        <v>32</v>
      </c>
      <c r="I73">
        <v>35</v>
      </c>
      <c r="J73" s="10">
        <v>45554</v>
      </c>
      <c r="K73" t="s">
        <v>459</v>
      </c>
    </row>
    <row r="74" spans="2:11" x14ac:dyDescent="0.25">
      <c r="B74" s="3" t="s">
        <v>129</v>
      </c>
      <c r="C74" t="s">
        <v>650</v>
      </c>
      <c r="D74" t="s">
        <v>460</v>
      </c>
      <c r="E74" t="s">
        <v>304</v>
      </c>
      <c r="F74" t="s">
        <v>428</v>
      </c>
      <c r="G74">
        <v>32</v>
      </c>
      <c r="H74">
        <v>14</v>
      </c>
      <c r="I74">
        <v>9</v>
      </c>
      <c r="J74" s="10">
        <v>45554</v>
      </c>
      <c r="K74" t="s">
        <v>461</v>
      </c>
    </row>
    <row r="75" spans="2:11" x14ac:dyDescent="0.25">
      <c r="B75" s="3" t="s">
        <v>129</v>
      </c>
      <c r="C75" t="s">
        <v>650</v>
      </c>
      <c r="D75" t="s">
        <v>462</v>
      </c>
      <c r="E75" t="s">
        <v>305</v>
      </c>
      <c r="F75" t="s">
        <v>305</v>
      </c>
      <c r="G75">
        <v>16</v>
      </c>
      <c r="H75">
        <v>14</v>
      </c>
      <c r="I75">
        <v>30</v>
      </c>
      <c r="J75" s="10">
        <v>45554</v>
      </c>
      <c r="K75" t="s">
        <v>463</v>
      </c>
    </row>
    <row r="76" spans="2:11" x14ac:dyDescent="0.25">
      <c r="B76" s="3" t="s">
        <v>129</v>
      </c>
      <c r="C76" t="s">
        <v>650</v>
      </c>
      <c r="D76" t="s">
        <v>464</v>
      </c>
      <c r="E76" t="s">
        <v>73</v>
      </c>
      <c r="F76" t="s">
        <v>308</v>
      </c>
      <c r="G76">
        <v>2</v>
      </c>
      <c r="H76">
        <v>14</v>
      </c>
      <c r="I76">
        <v>5.8</v>
      </c>
      <c r="J76" s="10">
        <v>45554</v>
      </c>
      <c r="K76" t="s">
        <v>465</v>
      </c>
    </row>
    <row r="77" spans="2:11" x14ac:dyDescent="0.25">
      <c r="B77" s="3" t="s">
        <v>129</v>
      </c>
      <c r="C77" t="s">
        <v>650</v>
      </c>
      <c r="D77" t="s">
        <v>466</v>
      </c>
      <c r="E77" t="s">
        <v>61</v>
      </c>
      <c r="F77" t="s">
        <v>311</v>
      </c>
      <c r="G77">
        <v>3</v>
      </c>
      <c r="H77">
        <v>14</v>
      </c>
      <c r="I77">
        <v>7.9</v>
      </c>
      <c r="J77" s="10">
        <v>45554</v>
      </c>
      <c r="K77" t="s">
        <v>467</v>
      </c>
    </row>
    <row r="78" spans="2:11" x14ac:dyDescent="0.25">
      <c r="B78" s="3" t="s">
        <v>129</v>
      </c>
      <c r="C78" t="s">
        <v>650</v>
      </c>
      <c r="D78" t="s">
        <v>468</v>
      </c>
      <c r="E78" t="s">
        <v>63</v>
      </c>
      <c r="F78" t="s">
        <v>311</v>
      </c>
      <c r="G78">
        <v>3</v>
      </c>
      <c r="H78">
        <v>14</v>
      </c>
      <c r="I78">
        <v>7.3</v>
      </c>
      <c r="J78" s="10">
        <v>45554</v>
      </c>
      <c r="K78" t="s">
        <v>469</v>
      </c>
    </row>
    <row r="79" spans="2:11" x14ac:dyDescent="0.25">
      <c r="B79" s="3" t="s">
        <v>129</v>
      </c>
      <c r="C79" t="s">
        <v>650</v>
      </c>
      <c r="D79" t="s">
        <v>470</v>
      </c>
      <c r="E79" t="s">
        <v>67</v>
      </c>
      <c r="F79" t="s">
        <v>311</v>
      </c>
      <c r="G79">
        <v>3</v>
      </c>
      <c r="H79">
        <v>14</v>
      </c>
      <c r="I79">
        <v>6.7</v>
      </c>
      <c r="J79" s="10">
        <v>45554</v>
      </c>
      <c r="K79" t="s">
        <v>471</v>
      </c>
    </row>
    <row r="80" spans="2:11" x14ac:dyDescent="0.25">
      <c r="B80" s="3" t="s">
        <v>129</v>
      </c>
      <c r="C80" t="s">
        <v>650</v>
      </c>
      <c r="D80" t="s">
        <v>472</v>
      </c>
      <c r="E80" t="s">
        <v>102</v>
      </c>
      <c r="F80" t="s">
        <v>316</v>
      </c>
      <c r="G80">
        <v>4</v>
      </c>
      <c r="H80">
        <v>14</v>
      </c>
      <c r="I80">
        <v>8.5</v>
      </c>
      <c r="J80" s="10">
        <v>45554</v>
      </c>
      <c r="K80" t="s">
        <v>473</v>
      </c>
    </row>
    <row r="81" spans="2:11" x14ac:dyDescent="0.25">
      <c r="B81" s="3" t="s">
        <v>129</v>
      </c>
      <c r="C81" t="s">
        <v>650</v>
      </c>
      <c r="D81" t="s">
        <v>474</v>
      </c>
      <c r="E81" t="s">
        <v>319</v>
      </c>
      <c r="F81" t="s">
        <v>316</v>
      </c>
      <c r="G81">
        <v>4</v>
      </c>
      <c r="H81">
        <v>14</v>
      </c>
      <c r="I81">
        <v>9.4</v>
      </c>
      <c r="J81" s="10">
        <v>45554</v>
      </c>
      <c r="K81" t="s">
        <v>475</v>
      </c>
    </row>
    <row r="82" spans="2:11" x14ac:dyDescent="0.25">
      <c r="B82" s="3" t="s">
        <v>129</v>
      </c>
      <c r="C82" t="s">
        <v>650</v>
      </c>
      <c r="D82" t="s">
        <v>476</v>
      </c>
      <c r="E82" t="s">
        <v>35</v>
      </c>
      <c r="F82" t="s">
        <v>316</v>
      </c>
      <c r="G82">
        <v>4</v>
      </c>
      <c r="H82">
        <v>14</v>
      </c>
      <c r="I82">
        <v>9</v>
      </c>
      <c r="J82" s="10">
        <v>45554</v>
      </c>
      <c r="K82" t="s">
        <v>477</v>
      </c>
    </row>
    <row r="83" spans="2:11" x14ac:dyDescent="0.25">
      <c r="B83" s="3" t="s">
        <v>129</v>
      </c>
      <c r="C83" t="s">
        <v>650</v>
      </c>
      <c r="D83" t="s">
        <v>478</v>
      </c>
      <c r="E83" t="s">
        <v>37</v>
      </c>
      <c r="F83" t="s">
        <v>316</v>
      </c>
      <c r="G83">
        <v>4</v>
      </c>
      <c r="H83">
        <v>14</v>
      </c>
      <c r="I83">
        <v>8.6</v>
      </c>
      <c r="J83" s="10">
        <v>45554</v>
      </c>
      <c r="K83" t="s">
        <v>479</v>
      </c>
    </row>
    <row r="84" spans="2:11" x14ac:dyDescent="0.25">
      <c r="B84" s="3" t="s">
        <v>129</v>
      </c>
      <c r="C84" t="s">
        <v>650</v>
      </c>
      <c r="D84" t="s">
        <v>480</v>
      </c>
      <c r="E84" t="s">
        <v>326</v>
      </c>
      <c r="F84" t="s">
        <v>327</v>
      </c>
      <c r="G84">
        <v>5</v>
      </c>
      <c r="H84">
        <v>14</v>
      </c>
      <c r="I84">
        <v>10</v>
      </c>
      <c r="J84" s="10">
        <v>45554</v>
      </c>
      <c r="K84" t="s">
        <v>481</v>
      </c>
    </row>
    <row r="85" spans="2:11" x14ac:dyDescent="0.25">
      <c r="B85" s="3" t="s">
        <v>129</v>
      </c>
      <c r="C85" t="s">
        <v>650</v>
      </c>
      <c r="D85" t="s">
        <v>482</v>
      </c>
      <c r="E85" t="s">
        <v>330</v>
      </c>
      <c r="F85" t="s">
        <v>327</v>
      </c>
      <c r="G85">
        <v>5</v>
      </c>
      <c r="H85">
        <v>14</v>
      </c>
      <c r="I85">
        <v>11</v>
      </c>
      <c r="J85" s="10">
        <v>45554</v>
      </c>
      <c r="K85" t="s">
        <v>483</v>
      </c>
    </row>
    <row r="86" spans="2:11" x14ac:dyDescent="0.25">
      <c r="B86" s="3" t="s">
        <v>129</v>
      </c>
      <c r="C86" t="s">
        <v>650</v>
      </c>
      <c r="D86" t="s">
        <v>484</v>
      </c>
      <c r="E86" t="s">
        <v>30</v>
      </c>
      <c r="F86" t="s">
        <v>327</v>
      </c>
      <c r="G86">
        <v>5</v>
      </c>
      <c r="H86">
        <v>14</v>
      </c>
      <c r="I86">
        <v>11</v>
      </c>
      <c r="J86" s="10">
        <v>45554</v>
      </c>
      <c r="K86" t="s">
        <v>485</v>
      </c>
    </row>
    <row r="87" spans="2:11" x14ac:dyDescent="0.25">
      <c r="B87" s="3" t="s">
        <v>129</v>
      </c>
      <c r="C87" t="s">
        <v>650</v>
      </c>
      <c r="D87" t="s">
        <v>486</v>
      </c>
      <c r="E87" t="s">
        <v>32</v>
      </c>
      <c r="F87" t="s">
        <v>327</v>
      </c>
      <c r="G87">
        <v>5</v>
      </c>
      <c r="H87">
        <v>14</v>
      </c>
      <c r="I87">
        <v>10</v>
      </c>
      <c r="J87" s="10">
        <v>45554</v>
      </c>
      <c r="K87" t="s">
        <v>487</v>
      </c>
    </row>
    <row r="88" spans="2:11" x14ac:dyDescent="0.25">
      <c r="B88" s="3" t="s">
        <v>129</v>
      </c>
      <c r="C88" t="s">
        <v>650</v>
      </c>
      <c r="D88" t="s">
        <v>488</v>
      </c>
      <c r="E88" t="s">
        <v>27</v>
      </c>
      <c r="F88" t="s">
        <v>335</v>
      </c>
      <c r="G88">
        <v>6</v>
      </c>
      <c r="H88">
        <v>14</v>
      </c>
      <c r="I88">
        <v>12</v>
      </c>
      <c r="J88" s="10">
        <v>45554</v>
      </c>
      <c r="K88" t="s">
        <v>489</v>
      </c>
    </row>
    <row r="89" spans="2:11" x14ac:dyDescent="0.25">
      <c r="B89" s="3" t="s">
        <v>129</v>
      </c>
      <c r="C89" t="s">
        <v>650</v>
      </c>
      <c r="D89" t="s">
        <v>490</v>
      </c>
      <c r="E89" t="s">
        <v>23</v>
      </c>
      <c r="F89" t="s">
        <v>338</v>
      </c>
      <c r="G89">
        <v>8</v>
      </c>
      <c r="H89">
        <v>14</v>
      </c>
      <c r="I89">
        <v>16</v>
      </c>
      <c r="J89" s="10">
        <v>45554</v>
      </c>
      <c r="K89" t="s">
        <v>491</v>
      </c>
    </row>
    <row r="90" spans="2:11" x14ac:dyDescent="0.25">
      <c r="B90" s="3" t="s">
        <v>2</v>
      </c>
      <c r="C90" t="s">
        <v>651</v>
      </c>
      <c r="D90" t="s">
        <v>492</v>
      </c>
      <c r="E90" t="s">
        <v>304</v>
      </c>
      <c r="F90" t="s">
        <v>305</v>
      </c>
      <c r="G90">
        <v>16</v>
      </c>
      <c r="H90">
        <v>27</v>
      </c>
      <c r="I90">
        <v>54</v>
      </c>
      <c r="J90" s="10">
        <v>45470</v>
      </c>
      <c r="K90" t="s">
        <v>493</v>
      </c>
    </row>
    <row r="91" spans="2:11" x14ac:dyDescent="0.25">
      <c r="B91" s="3" t="s">
        <v>2</v>
      </c>
      <c r="C91" t="s">
        <v>651</v>
      </c>
      <c r="D91" t="s">
        <v>494</v>
      </c>
      <c r="E91" t="s">
        <v>73</v>
      </c>
      <c r="F91" t="s">
        <v>308</v>
      </c>
      <c r="G91">
        <v>2</v>
      </c>
      <c r="H91">
        <v>27</v>
      </c>
      <c r="I91">
        <v>10</v>
      </c>
      <c r="J91" s="10">
        <v>45470</v>
      </c>
      <c r="K91" t="s">
        <v>495</v>
      </c>
    </row>
    <row r="92" spans="2:11" x14ac:dyDescent="0.25">
      <c r="B92" s="3" t="s">
        <v>2</v>
      </c>
      <c r="C92" t="s">
        <v>651</v>
      </c>
      <c r="D92" t="s">
        <v>496</v>
      </c>
      <c r="E92" t="s">
        <v>61</v>
      </c>
      <c r="F92" t="s">
        <v>311</v>
      </c>
      <c r="G92">
        <v>3</v>
      </c>
      <c r="H92">
        <v>27</v>
      </c>
      <c r="I92">
        <v>15</v>
      </c>
      <c r="J92" s="10">
        <v>45470</v>
      </c>
      <c r="K92" t="s">
        <v>497</v>
      </c>
    </row>
    <row r="93" spans="2:11" x14ac:dyDescent="0.25">
      <c r="B93" s="3" t="s">
        <v>2</v>
      </c>
      <c r="C93" t="s">
        <v>651</v>
      </c>
      <c r="D93" t="s">
        <v>498</v>
      </c>
      <c r="E93" t="s">
        <v>63</v>
      </c>
      <c r="F93" t="s">
        <v>311</v>
      </c>
      <c r="G93">
        <v>3</v>
      </c>
      <c r="H93">
        <v>27</v>
      </c>
      <c r="I93">
        <v>13</v>
      </c>
      <c r="J93" s="10">
        <v>45470</v>
      </c>
      <c r="K93" t="s">
        <v>499</v>
      </c>
    </row>
    <row r="94" spans="2:11" x14ac:dyDescent="0.25">
      <c r="B94" s="3" t="s">
        <v>2</v>
      </c>
      <c r="C94" t="s">
        <v>651</v>
      </c>
      <c r="D94" t="s">
        <v>500</v>
      </c>
      <c r="E94" t="s">
        <v>67</v>
      </c>
      <c r="F94" t="s">
        <v>311</v>
      </c>
      <c r="G94">
        <v>3</v>
      </c>
      <c r="H94">
        <v>27</v>
      </c>
      <c r="I94">
        <v>12</v>
      </c>
      <c r="J94" s="10">
        <v>45470</v>
      </c>
      <c r="K94" t="s">
        <v>501</v>
      </c>
    </row>
    <row r="95" spans="2:11" x14ac:dyDescent="0.25">
      <c r="B95" s="3" t="s">
        <v>2</v>
      </c>
      <c r="C95" t="s">
        <v>651</v>
      </c>
      <c r="D95" t="s">
        <v>502</v>
      </c>
      <c r="E95" t="s">
        <v>102</v>
      </c>
      <c r="F95" t="s">
        <v>316</v>
      </c>
      <c r="G95">
        <v>4</v>
      </c>
      <c r="H95">
        <v>27</v>
      </c>
      <c r="I95">
        <v>16</v>
      </c>
      <c r="J95" s="10">
        <v>45470</v>
      </c>
      <c r="K95" t="s">
        <v>503</v>
      </c>
    </row>
    <row r="96" spans="2:11" x14ac:dyDescent="0.25">
      <c r="B96" s="3" t="s">
        <v>2</v>
      </c>
      <c r="C96" t="s">
        <v>651</v>
      </c>
      <c r="D96" t="s">
        <v>504</v>
      </c>
      <c r="E96" t="s">
        <v>319</v>
      </c>
      <c r="F96" t="s">
        <v>316</v>
      </c>
      <c r="G96">
        <v>4</v>
      </c>
      <c r="H96">
        <v>27</v>
      </c>
      <c r="I96">
        <v>17</v>
      </c>
      <c r="J96" s="10">
        <v>45470</v>
      </c>
      <c r="K96" t="s">
        <v>505</v>
      </c>
    </row>
    <row r="97" spans="2:11" x14ac:dyDescent="0.25">
      <c r="B97" s="3" t="s">
        <v>2</v>
      </c>
      <c r="C97" t="s">
        <v>651</v>
      </c>
      <c r="D97" t="s">
        <v>506</v>
      </c>
      <c r="E97" t="s">
        <v>35</v>
      </c>
      <c r="F97" t="s">
        <v>316</v>
      </c>
      <c r="G97">
        <v>4</v>
      </c>
      <c r="H97">
        <v>27</v>
      </c>
      <c r="I97">
        <v>17</v>
      </c>
      <c r="J97" s="10">
        <v>45470</v>
      </c>
      <c r="K97" t="s">
        <v>507</v>
      </c>
    </row>
    <row r="98" spans="2:11" x14ac:dyDescent="0.25">
      <c r="B98" s="3" t="s">
        <v>2</v>
      </c>
      <c r="C98" t="s">
        <v>651</v>
      </c>
      <c r="D98" t="s">
        <v>508</v>
      </c>
      <c r="E98" t="s">
        <v>37</v>
      </c>
      <c r="F98" t="s">
        <v>316</v>
      </c>
      <c r="G98">
        <v>4</v>
      </c>
      <c r="H98">
        <v>27</v>
      </c>
      <c r="I98">
        <v>16</v>
      </c>
      <c r="J98" s="10">
        <v>45470</v>
      </c>
      <c r="K98" t="s">
        <v>509</v>
      </c>
    </row>
    <row r="99" spans="2:11" x14ac:dyDescent="0.25">
      <c r="B99" s="3" t="s">
        <v>2</v>
      </c>
      <c r="C99" t="s">
        <v>651</v>
      </c>
      <c r="D99" t="s">
        <v>510</v>
      </c>
      <c r="E99" t="s">
        <v>326</v>
      </c>
      <c r="F99" t="s">
        <v>327</v>
      </c>
      <c r="G99">
        <v>5</v>
      </c>
      <c r="H99">
        <v>27</v>
      </c>
      <c r="I99">
        <v>19</v>
      </c>
      <c r="J99" s="10">
        <v>45470</v>
      </c>
      <c r="K99" t="s">
        <v>511</v>
      </c>
    </row>
    <row r="100" spans="2:11" x14ac:dyDescent="0.25">
      <c r="B100" s="3" t="s">
        <v>2</v>
      </c>
      <c r="C100" t="s">
        <v>651</v>
      </c>
      <c r="D100" t="s">
        <v>512</v>
      </c>
      <c r="E100" t="s">
        <v>330</v>
      </c>
      <c r="F100" t="s">
        <v>327</v>
      </c>
      <c r="G100">
        <v>5</v>
      </c>
      <c r="H100">
        <v>27</v>
      </c>
      <c r="I100">
        <v>21</v>
      </c>
      <c r="J100" s="10">
        <v>45470</v>
      </c>
      <c r="K100" t="s">
        <v>513</v>
      </c>
    </row>
    <row r="101" spans="2:11" x14ac:dyDescent="0.25">
      <c r="B101" s="3" t="s">
        <v>2</v>
      </c>
      <c r="C101" t="s">
        <v>651</v>
      </c>
      <c r="D101" t="s">
        <v>514</v>
      </c>
      <c r="E101" t="s">
        <v>30</v>
      </c>
      <c r="F101" t="s">
        <v>327</v>
      </c>
      <c r="G101">
        <v>5</v>
      </c>
      <c r="H101">
        <v>27</v>
      </c>
      <c r="I101">
        <v>19</v>
      </c>
      <c r="J101" s="10">
        <v>45470</v>
      </c>
      <c r="K101" t="s">
        <v>515</v>
      </c>
    </row>
    <row r="102" spans="2:11" x14ac:dyDescent="0.25">
      <c r="B102" s="3" t="s">
        <v>2</v>
      </c>
      <c r="C102" t="s">
        <v>651</v>
      </c>
      <c r="D102" t="s">
        <v>516</v>
      </c>
      <c r="E102" t="s">
        <v>32</v>
      </c>
      <c r="F102" t="s">
        <v>327</v>
      </c>
      <c r="G102">
        <v>5</v>
      </c>
      <c r="H102">
        <v>27</v>
      </c>
      <c r="I102">
        <v>19</v>
      </c>
      <c r="J102" s="10">
        <v>45470</v>
      </c>
      <c r="K102" t="s">
        <v>517</v>
      </c>
    </row>
    <row r="103" spans="2:11" x14ac:dyDescent="0.25">
      <c r="B103" s="3" t="s">
        <v>2</v>
      </c>
      <c r="C103" t="s">
        <v>651</v>
      </c>
      <c r="D103" t="s">
        <v>518</v>
      </c>
      <c r="E103" t="s">
        <v>27</v>
      </c>
      <c r="F103" t="s">
        <v>335</v>
      </c>
      <c r="G103">
        <v>6</v>
      </c>
      <c r="H103">
        <v>27</v>
      </c>
      <c r="I103">
        <v>22</v>
      </c>
      <c r="J103" s="10">
        <v>45470</v>
      </c>
      <c r="K103" t="s">
        <v>519</v>
      </c>
    </row>
    <row r="104" spans="2:11" x14ac:dyDescent="0.25">
      <c r="B104" s="3" t="s">
        <v>2</v>
      </c>
      <c r="C104" t="s">
        <v>651</v>
      </c>
      <c r="D104" t="s">
        <v>520</v>
      </c>
      <c r="E104" t="s">
        <v>23</v>
      </c>
      <c r="F104" t="s">
        <v>338</v>
      </c>
      <c r="G104">
        <v>8</v>
      </c>
      <c r="H104">
        <v>27</v>
      </c>
      <c r="I104">
        <v>29</v>
      </c>
      <c r="J104" s="10">
        <v>45470</v>
      </c>
      <c r="K104" t="s">
        <v>521</v>
      </c>
    </row>
    <row r="105" spans="2:11" x14ac:dyDescent="0.25">
      <c r="B105" s="3" t="s">
        <v>2</v>
      </c>
      <c r="C105" t="s">
        <v>652</v>
      </c>
      <c r="D105" t="s">
        <v>522</v>
      </c>
      <c r="E105" t="s">
        <v>304</v>
      </c>
      <c r="F105" t="s">
        <v>305</v>
      </c>
      <c r="G105">
        <v>16</v>
      </c>
      <c r="H105">
        <v>9</v>
      </c>
      <c r="I105">
        <v>18</v>
      </c>
      <c r="J105" s="10">
        <v>45470</v>
      </c>
      <c r="K105" t="s">
        <v>523</v>
      </c>
    </row>
    <row r="106" spans="2:11" x14ac:dyDescent="0.25">
      <c r="B106" s="3" t="s">
        <v>2</v>
      </c>
      <c r="C106" t="s">
        <v>652</v>
      </c>
      <c r="D106" t="s">
        <v>524</v>
      </c>
      <c r="E106" t="s">
        <v>73</v>
      </c>
      <c r="F106" t="s">
        <v>308</v>
      </c>
      <c r="G106">
        <v>2</v>
      </c>
      <c r="H106">
        <v>9</v>
      </c>
      <c r="I106">
        <v>3.3</v>
      </c>
      <c r="J106" s="10">
        <v>45470</v>
      </c>
      <c r="K106" t="s">
        <v>525</v>
      </c>
    </row>
    <row r="107" spans="2:11" x14ac:dyDescent="0.25">
      <c r="B107" s="3" t="s">
        <v>2</v>
      </c>
      <c r="C107" t="s">
        <v>652</v>
      </c>
      <c r="D107" t="s">
        <v>526</v>
      </c>
      <c r="E107" t="s">
        <v>61</v>
      </c>
      <c r="F107" t="s">
        <v>311</v>
      </c>
      <c r="G107">
        <v>3</v>
      </c>
      <c r="H107">
        <v>9</v>
      </c>
      <c r="I107">
        <v>4.5</v>
      </c>
      <c r="J107" s="10">
        <v>45470</v>
      </c>
      <c r="K107" t="s">
        <v>527</v>
      </c>
    </row>
    <row r="108" spans="2:11" x14ac:dyDescent="0.25">
      <c r="B108" s="3" t="s">
        <v>2</v>
      </c>
      <c r="C108" t="s">
        <v>652</v>
      </c>
      <c r="D108" t="s">
        <v>528</v>
      </c>
      <c r="E108" t="s">
        <v>63</v>
      </c>
      <c r="F108" t="s">
        <v>311</v>
      </c>
      <c r="G108">
        <v>3</v>
      </c>
      <c r="H108">
        <v>9</v>
      </c>
      <c r="I108">
        <v>4</v>
      </c>
      <c r="J108" s="10">
        <v>45470</v>
      </c>
      <c r="K108" t="s">
        <v>529</v>
      </c>
    </row>
    <row r="109" spans="2:11" x14ac:dyDescent="0.25">
      <c r="B109" s="3" t="s">
        <v>2</v>
      </c>
      <c r="C109" t="s">
        <v>652</v>
      </c>
      <c r="D109" t="s">
        <v>530</v>
      </c>
      <c r="E109" t="s">
        <v>67</v>
      </c>
      <c r="F109" t="s">
        <v>311</v>
      </c>
      <c r="G109">
        <v>3</v>
      </c>
      <c r="H109">
        <v>9</v>
      </c>
      <c r="I109">
        <v>3.6</v>
      </c>
      <c r="J109" s="10">
        <v>45470</v>
      </c>
      <c r="K109" t="s">
        <v>531</v>
      </c>
    </row>
    <row r="110" spans="2:11" x14ac:dyDescent="0.25">
      <c r="B110" s="3" t="s">
        <v>2</v>
      </c>
      <c r="C110" t="s">
        <v>652</v>
      </c>
      <c r="D110" t="s">
        <v>532</v>
      </c>
      <c r="E110" t="s">
        <v>102</v>
      </c>
      <c r="F110" t="s">
        <v>316</v>
      </c>
      <c r="G110">
        <v>4</v>
      </c>
      <c r="H110">
        <v>9</v>
      </c>
      <c r="I110">
        <v>4.8</v>
      </c>
      <c r="J110" s="10">
        <v>45470</v>
      </c>
      <c r="K110" t="s">
        <v>533</v>
      </c>
    </row>
    <row r="111" spans="2:11" x14ac:dyDescent="0.25">
      <c r="B111" s="3" t="s">
        <v>2</v>
      </c>
      <c r="C111" t="s">
        <v>652</v>
      </c>
      <c r="D111" t="s">
        <v>534</v>
      </c>
      <c r="E111" t="s">
        <v>319</v>
      </c>
      <c r="F111" t="s">
        <v>316</v>
      </c>
      <c r="G111">
        <v>4</v>
      </c>
      <c r="H111">
        <v>9</v>
      </c>
      <c r="I111">
        <v>5.0999999999999996</v>
      </c>
      <c r="J111" s="10">
        <v>45470</v>
      </c>
      <c r="K111" t="s">
        <v>535</v>
      </c>
    </row>
    <row r="112" spans="2:11" x14ac:dyDescent="0.25">
      <c r="B112" s="3" t="s">
        <v>2</v>
      </c>
      <c r="C112" t="s">
        <v>652</v>
      </c>
      <c r="D112" t="s">
        <v>536</v>
      </c>
      <c r="E112" t="s">
        <v>35</v>
      </c>
      <c r="F112" t="s">
        <v>316</v>
      </c>
      <c r="G112">
        <v>4</v>
      </c>
      <c r="H112">
        <v>9</v>
      </c>
      <c r="I112">
        <v>5</v>
      </c>
      <c r="J112" s="10">
        <v>45470</v>
      </c>
      <c r="K112" t="s">
        <v>537</v>
      </c>
    </row>
    <row r="113" spans="2:11" x14ac:dyDescent="0.25">
      <c r="B113" s="3" t="s">
        <v>2</v>
      </c>
      <c r="C113" t="s">
        <v>652</v>
      </c>
      <c r="D113" t="s">
        <v>538</v>
      </c>
      <c r="E113" t="s">
        <v>37</v>
      </c>
      <c r="F113" t="s">
        <v>316</v>
      </c>
      <c r="G113">
        <v>4</v>
      </c>
      <c r="H113">
        <v>9</v>
      </c>
      <c r="I113">
        <v>4.7</v>
      </c>
      <c r="J113" s="10">
        <v>45470</v>
      </c>
      <c r="K113" t="s">
        <v>539</v>
      </c>
    </row>
    <row r="114" spans="2:11" x14ac:dyDescent="0.25">
      <c r="B114" s="3" t="s">
        <v>2</v>
      </c>
      <c r="C114" t="s">
        <v>652</v>
      </c>
      <c r="D114" t="s">
        <v>540</v>
      </c>
      <c r="E114" t="s">
        <v>326</v>
      </c>
      <c r="F114" t="s">
        <v>327</v>
      </c>
      <c r="G114">
        <v>5</v>
      </c>
      <c r="H114">
        <v>9</v>
      </c>
      <c r="I114">
        <v>5.7</v>
      </c>
      <c r="J114" s="10">
        <v>45470</v>
      </c>
      <c r="K114" t="s">
        <v>541</v>
      </c>
    </row>
    <row r="115" spans="2:11" x14ac:dyDescent="0.25">
      <c r="B115" s="3" t="s">
        <v>2</v>
      </c>
      <c r="C115" t="s">
        <v>652</v>
      </c>
      <c r="D115" t="s">
        <v>542</v>
      </c>
      <c r="E115" t="s">
        <v>330</v>
      </c>
      <c r="F115" t="s">
        <v>327</v>
      </c>
      <c r="G115">
        <v>5</v>
      </c>
      <c r="H115">
        <v>9</v>
      </c>
      <c r="I115">
        <v>6.3</v>
      </c>
      <c r="J115" s="10">
        <v>45470</v>
      </c>
      <c r="K115" t="s">
        <v>543</v>
      </c>
    </row>
    <row r="116" spans="2:11" x14ac:dyDescent="0.25">
      <c r="B116" s="3" t="s">
        <v>2</v>
      </c>
      <c r="C116" t="s">
        <v>652</v>
      </c>
      <c r="D116" t="s">
        <v>544</v>
      </c>
      <c r="E116" t="s">
        <v>30</v>
      </c>
      <c r="F116" t="s">
        <v>327</v>
      </c>
      <c r="G116">
        <v>5</v>
      </c>
      <c r="H116">
        <v>9</v>
      </c>
      <c r="I116">
        <v>5.8</v>
      </c>
      <c r="J116" s="10">
        <v>45470</v>
      </c>
      <c r="K116" t="s">
        <v>545</v>
      </c>
    </row>
    <row r="117" spans="2:11" x14ac:dyDescent="0.25">
      <c r="B117" s="3" t="s">
        <v>2</v>
      </c>
      <c r="C117" t="s">
        <v>652</v>
      </c>
      <c r="D117" t="s">
        <v>546</v>
      </c>
      <c r="E117" t="s">
        <v>32</v>
      </c>
      <c r="F117" t="s">
        <v>327</v>
      </c>
      <c r="G117">
        <v>5</v>
      </c>
      <c r="H117">
        <v>9</v>
      </c>
      <c r="I117">
        <v>5.7</v>
      </c>
      <c r="J117" s="10">
        <v>45470</v>
      </c>
      <c r="K117" t="s">
        <v>547</v>
      </c>
    </row>
    <row r="118" spans="2:11" x14ac:dyDescent="0.25">
      <c r="B118" s="3" t="s">
        <v>2</v>
      </c>
      <c r="C118" t="s">
        <v>652</v>
      </c>
      <c r="D118" t="s">
        <v>548</v>
      </c>
      <c r="E118" t="s">
        <v>27</v>
      </c>
      <c r="F118" t="s">
        <v>335</v>
      </c>
      <c r="G118">
        <v>6</v>
      </c>
      <c r="H118">
        <v>9</v>
      </c>
      <c r="I118">
        <v>6.7</v>
      </c>
      <c r="J118" s="10">
        <v>45470</v>
      </c>
      <c r="K118" t="s">
        <v>549</v>
      </c>
    </row>
    <row r="119" spans="2:11" x14ac:dyDescent="0.25">
      <c r="B119" s="3" t="s">
        <v>2</v>
      </c>
      <c r="C119" t="s">
        <v>652</v>
      </c>
      <c r="D119" t="s">
        <v>550</v>
      </c>
      <c r="E119" t="s">
        <v>23</v>
      </c>
      <c r="F119" t="s">
        <v>338</v>
      </c>
      <c r="G119">
        <v>8</v>
      </c>
      <c r="H119">
        <v>9</v>
      </c>
      <c r="I119">
        <v>9.1999999999999993</v>
      </c>
      <c r="J119" s="10">
        <v>45470</v>
      </c>
      <c r="K119" t="s">
        <v>551</v>
      </c>
    </row>
    <row r="120" spans="2:11" x14ac:dyDescent="0.25">
      <c r="B120" s="3" t="s">
        <v>2</v>
      </c>
      <c r="C120" t="s">
        <v>653</v>
      </c>
      <c r="D120" t="s">
        <v>552</v>
      </c>
      <c r="E120" t="s">
        <v>304</v>
      </c>
      <c r="F120" t="s">
        <v>305</v>
      </c>
      <c r="G120">
        <v>16</v>
      </c>
      <c r="H120">
        <v>2</v>
      </c>
      <c r="I120">
        <v>4</v>
      </c>
      <c r="J120" s="10">
        <v>45470</v>
      </c>
      <c r="K120" t="s">
        <v>553</v>
      </c>
    </row>
    <row r="121" spans="2:11" x14ac:dyDescent="0.25">
      <c r="B121" s="3" t="s">
        <v>2</v>
      </c>
      <c r="C121" t="s">
        <v>653</v>
      </c>
      <c r="D121" t="s">
        <v>554</v>
      </c>
      <c r="E121" t="s">
        <v>73</v>
      </c>
      <c r="F121" t="s">
        <v>308</v>
      </c>
      <c r="G121">
        <v>2</v>
      </c>
      <c r="H121">
        <v>2</v>
      </c>
      <c r="I121">
        <v>0.8</v>
      </c>
      <c r="J121" s="10">
        <v>45470</v>
      </c>
      <c r="K121" t="s">
        <v>555</v>
      </c>
    </row>
    <row r="122" spans="2:11" x14ac:dyDescent="0.25">
      <c r="B122" s="3" t="s">
        <v>2</v>
      </c>
      <c r="C122" t="s">
        <v>653</v>
      </c>
      <c r="D122" t="s">
        <v>556</v>
      </c>
      <c r="E122" t="s">
        <v>61</v>
      </c>
      <c r="F122" t="s">
        <v>311</v>
      </c>
      <c r="G122">
        <v>3</v>
      </c>
      <c r="H122">
        <v>2</v>
      </c>
      <c r="I122">
        <v>1.2</v>
      </c>
      <c r="J122" s="10">
        <v>45470</v>
      </c>
      <c r="K122" t="s">
        <v>557</v>
      </c>
    </row>
    <row r="123" spans="2:11" x14ac:dyDescent="0.25">
      <c r="B123" s="3" t="s">
        <v>2</v>
      </c>
      <c r="C123" t="s">
        <v>653</v>
      </c>
      <c r="D123" t="s">
        <v>558</v>
      </c>
      <c r="E123" t="s">
        <v>63</v>
      </c>
      <c r="F123" t="s">
        <v>311</v>
      </c>
      <c r="G123">
        <v>3</v>
      </c>
      <c r="H123">
        <v>2</v>
      </c>
      <c r="I123">
        <v>1.1000000000000001</v>
      </c>
      <c r="J123" s="10">
        <v>45470</v>
      </c>
      <c r="K123" t="s">
        <v>559</v>
      </c>
    </row>
    <row r="124" spans="2:11" x14ac:dyDescent="0.25">
      <c r="B124" s="3" t="s">
        <v>2</v>
      </c>
      <c r="C124" t="s">
        <v>653</v>
      </c>
      <c r="D124" t="s">
        <v>560</v>
      </c>
      <c r="E124" t="s">
        <v>67</v>
      </c>
      <c r="F124" t="s">
        <v>311</v>
      </c>
      <c r="G124">
        <v>3</v>
      </c>
      <c r="H124">
        <v>2</v>
      </c>
      <c r="I124">
        <v>1</v>
      </c>
      <c r="J124" s="10">
        <v>45470</v>
      </c>
      <c r="K124" t="s">
        <v>561</v>
      </c>
    </row>
    <row r="125" spans="2:11" x14ac:dyDescent="0.25">
      <c r="B125" s="3" t="s">
        <v>2</v>
      </c>
      <c r="C125" t="s">
        <v>653</v>
      </c>
      <c r="D125" t="s">
        <v>562</v>
      </c>
      <c r="E125" t="s">
        <v>102</v>
      </c>
      <c r="F125" t="s">
        <v>316</v>
      </c>
      <c r="G125">
        <v>4</v>
      </c>
      <c r="H125">
        <v>2</v>
      </c>
      <c r="I125">
        <v>1.3</v>
      </c>
      <c r="J125" s="10">
        <v>45470</v>
      </c>
      <c r="K125" t="s">
        <v>563</v>
      </c>
    </row>
    <row r="126" spans="2:11" x14ac:dyDescent="0.25">
      <c r="B126" s="3" t="s">
        <v>2</v>
      </c>
      <c r="C126" t="s">
        <v>653</v>
      </c>
      <c r="D126" t="s">
        <v>564</v>
      </c>
      <c r="E126" t="s">
        <v>319</v>
      </c>
      <c r="F126" t="s">
        <v>316</v>
      </c>
      <c r="G126">
        <v>4</v>
      </c>
      <c r="H126">
        <v>2</v>
      </c>
      <c r="I126">
        <v>1.4</v>
      </c>
      <c r="J126" s="10">
        <v>45470</v>
      </c>
      <c r="K126" t="s">
        <v>565</v>
      </c>
    </row>
    <row r="127" spans="2:11" x14ac:dyDescent="0.25">
      <c r="B127" s="3" t="s">
        <v>2</v>
      </c>
      <c r="C127" t="s">
        <v>653</v>
      </c>
      <c r="D127" t="s">
        <v>566</v>
      </c>
      <c r="E127" t="s">
        <v>35</v>
      </c>
      <c r="F127" t="s">
        <v>316</v>
      </c>
      <c r="G127">
        <v>4</v>
      </c>
      <c r="H127">
        <v>2</v>
      </c>
      <c r="I127">
        <v>1.3</v>
      </c>
      <c r="J127" s="10">
        <v>45470</v>
      </c>
      <c r="K127" t="s">
        <v>567</v>
      </c>
    </row>
    <row r="128" spans="2:11" x14ac:dyDescent="0.25">
      <c r="B128" s="3" t="s">
        <v>2</v>
      </c>
      <c r="C128" t="s">
        <v>653</v>
      </c>
      <c r="D128" t="s">
        <v>568</v>
      </c>
      <c r="E128" t="s">
        <v>37</v>
      </c>
      <c r="F128" t="s">
        <v>316</v>
      </c>
      <c r="G128">
        <v>4</v>
      </c>
      <c r="H128">
        <v>2</v>
      </c>
      <c r="I128">
        <v>1.2</v>
      </c>
      <c r="J128" s="10">
        <v>45470</v>
      </c>
      <c r="K128" t="s">
        <v>569</v>
      </c>
    </row>
    <row r="129" spans="2:11" x14ac:dyDescent="0.25">
      <c r="B129" s="3" t="s">
        <v>2</v>
      </c>
      <c r="C129" t="s">
        <v>653</v>
      </c>
      <c r="D129" t="s">
        <v>570</v>
      </c>
      <c r="E129" t="s">
        <v>326</v>
      </c>
      <c r="F129" t="s">
        <v>327</v>
      </c>
      <c r="G129">
        <v>5</v>
      </c>
      <c r="H129">
        <v>2</v>
      </c>
      <c r="I129">
        <v>1.6</v>
      </c>
      <c r="J129" s="10">
        <v>45470</v>
      </c>
      <c r="K129" t="s">
        <v>571</v>
      </c>
    </row>
    <row r="130" spans="2:11" x14ac:dyDescent="0.25">
      <c r="B130" s="3" t="s">
        <v>2</v>
      </c>
      <c r="C130" t="s">
        <v>653</v>
      </c>
      <c r="D130" t="s">
        <v>572</v>
      </c>
      <c r="E130" t="s">
        <v>330</v>
      </c>
      <c r="F130" t="s">
        <v>327</v>
      </c>
      <c r="G130">
        <v>5</v>
      </c>
      <c r="H130">
        <v>2</v>
      </c>
      <c r="I130">
        <v>1.8</v>
      </c>
      <c r="J130" s="10">
        <v>45470</v>
      </c>
      <c r="K130" t="s">
        <v>573</v>
      </c>
    </row>
    <row r="131" spans="2:11" x14ac:dyDescent="0.25">
      <c r="B131" s="3" t="s">
        <v>2</v>
      </c>
      <c r="C131" t="s">
        <v>653</v>
      </c>
      <c r="D131" t="s">
        <v>574</v>
      </c>
      <c r="E131" t="s">
        <v>30</v>
      </c>
      <c r="F131" t="s">
        <v>327</v>
      </c>
      <c r="G131">
        <v>5</v>
      </c>
      <c r="H131">
        <v>2</v>
      </c>
      <c r="I131">
        <v>1.7</v>
      </c>
      <c r="J131" s="10">
        <v>45470</v>
      </c>
      <c r="K131" t="s">
        <v>575</v>
      </c>
    </row>
    <row r="132" spans="2:11" x14ac:dyDescent="0.25">
      <c r="B132" s="3" t="s">
        <v>2</v>
      </c>
      <c r="C132" t="s">
        <v>653</v>
      </c>
      <c r="D132" t="s">
        <v>576</v>
      </c>
      <c r="E132" t="s">
        <v>32</v>
      </c>
      <c r="F132" t="s">
        <v>327</v>
      </c>
      <c r="G132">
        <v>5</v>
      </c>
      <c r="H132">
        <v>2</v>
      </c>
      <c r="I132">
        <v>1.6</v>
      </c>
      <c r="J132" s="10">
        <v>45470</v>
      </c>
      <c r="K132" t="s">
        <v>577</v>
      </c>
    </row>
    <row r="133" spans="2:11" x14ac:dyDescent="0.25">
      <c r="B133" s="3" t="s">
        <v>2</v>
      </c>
      <c r="C133" t="s">
        <v>653</v>
      </c>
      <c r="D133" t="s">
        <v>578</v>
      </c>
      <c r="E133" t="s">
        <v>27</v>
      </c>
      <c r="F133" t="s">
        <v>335</v>
      </c>
      <c r="G133">
        <v>6</v>
      </c>
      <c r="H133">
        <v>2</v>
      </c>
      <c r="I133">
        <v>2</v>
      </c>
      <c r="J133" s="10">
        <v>45470</v>
      </c>
      <c r="K133" t="s">
        <v>579</v>
      </c>
    </row>
    <row r="134" spans="2:11" x14ac:dyDescent="0.25">
      <c r="B134" s="3" t="s">
        <v>2</v>
      </c>
      <c r="C134" t="s">
        <v>653</v>
      </c>
      <c r="D134" t="s">
        <v>580</v>
      </c>
      <c r="E134" t="s">
        <v>23</v>
      </c>
      <c r="F134" t="s">
        <v>338</v>
      </c>
      <c r="G134">
        <v>8</v>
      </c>
      <c r="H134">
        <v>2</v>
      </c>
      <c r="I134">
        <v>2.6</v>
      </c>
      <c r="J134" s="10">
        <v>45470</v>
      </c>
      <c r="K134" t="s">
        <v>581</v>
      </c>
    </row>
    <row r="135" spans="2:11" x14ac:dyDescent="0.25">
      <c r="B135" s="3" t="s">
        <v>582</v>
      </c>
      <c r="C135" t="s">
        <v>654</v>
      </c>
      <c r="D135" t="s">
        <v>583</v>
      </c>
      <c r="E135" t="s">
        <v>304</v>
      </c>
      <c r="F135" t="s">
        <v>305</v>
      </c>
      <c r="G135">
        <v>16</v>
      </c>
      <c r="H135">
        <v>56</v>
      </c>
      <c r="I135">
        <v>90</v>
      </c>
      <c r="J135" s="10">
        <v>45271</v>
      </c>
      <c r="K135" t="s">
        <v>584</v>
      </c>
    </row>
    <row r="136" spans="2:11" x14ac:dyDescent="0.25">
      <c r="B136" s="3" t="s">
        <v>582</v>
      </c>
      <c r="C136" t="s">
        <v>654</v>
      </c>
      <c r="D136" t="s">
        <v>585</v>
      </c>
      <c r="E136" t="s">
        <v>73</v>
      </c>
      <c r="F136" t="s">
        <v>308</v>
      </c>
      <c r="G136">
        <v>2</v>
      </c>
      <c r="H136">
        <v>56</v>
      </c>
      <c r="I136">
        <v>17</v>
      </c>
      <c r="J136" s="10">
        <v>45271</v>
      </c>
      <c r="K136" t="s">
        <v>586</v>
      </c>
    </row>
    <row r="137" spans="2:11" x14ac:dyDescent="0.25">
      <c r="B137" s="3" t="s">
        <v>582</v>
      </c>
      <c r="C137" t="s">
        <v>654</v>
      </c>
      <c r="D137" t="s">
        <v>587</v>
      </c>
      <c r="E137" t="s">
        <v>61</v>
      </c>
      <c r="F137" t="s">
        <v>311</v>
      </c>
      <c r="G137">
        <v>3</v>
      </c>
      <c r="H137">
        <v>56</v>
      </c>
      <c r="I137">
        <v>23</v>
      </c>
      <c r="J137" s="10">
        <v>45271</v>
      </c>
      <c r="K137" t="s">
        <v>588</v>
      </c>
    </row>
    <row r="138" spans="2:11" x14ac:dyDescent="0.25">
      <c r="B138" s="3" t="s">
        <v>582</v>
      </c>
      <c r="C138" t="s">
        <v>654</v>
      </c>
      <c r="D138" t="s">
        <v>589</v>
      </c>
      <c r="E138" t="s">
        <v>63</v>
      </c>
      <c r="F138" t="s">
        <v>311</v>
      </c>
      <c r="G138">
        <v>3</v>
      </c>
      <c r="H138">
        <v>56</v>
      </c>
      <c r="I138">
        <v>21</v>
      </c>
      <c r="J138" s="10">
        <v>45271</v>
      </c>
      <c r="K138" t="s">
        <v>590</v>
      </c>
    </row>
    <row r="139" spans="2:11" x14ac:dyDescent="0.25">
      <c r="B139" s="3" t="s">
        <v>582</v>
      </c>
      <c r="C139" t="s">
        <v>654</v>
      </c>
      <c r="D139" t="s">
        <v>591</v>
      </c>
      <c r="E139" t="s">
        <v>67</v>
      </c>
      <c r="F139" t="s">
        <v>311</v>
      </c>
      <c r="G139">
        <v>3</v>
      </c>
      <c r="H139">
        <v>56</v>
      </c>
      <c r="I139">
        <v>19</v>
      </c>
      <c r="J139" s="10">
        <v>45271</v>
      </c>
      <c r="K139" t="s">
        <v>592</v>
      </c>
    </row>
    <row r="140" spans="2:11" x14ac:dyDescent="0.25">
      <c r="B140" s="3" t="s">
        <v>582</v>
      </c>
      <c r="C140" t="s">
        <v>654</v>
      </c>
      <c r="D140" t="s">
        <v>593</v>
      </c>
      <c r="E140" t="s">
        <v>102</v>
      </c>
      <c r="F140" t="s">
        <v>316</v>
      </c>
      <c r="G140">
        <v>4</v>
      </c>
      <c r="H140">
        <v>56</v>
      </c>
      <c r="I140">
        <v>26</v>
      </c>
      <c r="J140" s="10">
        <v>45271</v>
      </c>
      <c r="K140" t="s">
        <v>594</v>
      </c>
    </row>
    <row r="141" spans="2:11" x14ac:dyDescent="0.25">
      <c r="B141" s="3" t="s">
        <v>582</v>
      </c>
      <c r="C141" t="s">
        <v>654</v>
      </c>
      <c r="D141" t="s">
        <v>595</v>
      </c>
      <c r="E141" t="s">
        <v>319</v>
      </c>
      <c r="F141" t="s">
        <v>316</v>
      </c>
      <c r="G141">
        <v>4</v>
      </c>
      <c r="H141">
        <v>56</v>
      </c>
      <c r="I141">
        <v>29</v>
      </c>
      <c r="J141" s="10">
        <v>45271</v>
      </c>
      <c r="K141" t="s">
        <v>596</v>
      </c>
    </row>
    <row r="142" spans="2:11" x14ac:dyDescent="0.25">
      <c r="B142" s="3" t="s">
        <v>582</v>
      </c>
      <c r="C142" t="s">
        <v>654</v>
      </c>
      <c r="D142" t="s">
        <v>597</v>
      </c>
      <c r="E142" t="s">
        <v>35</v>
      </c>
      <c r="F142" t="s">
        <v>316</v>
      </c>
      <c r="G142">
        <v>4</v>
      </c>
      <c r="H142">
        <v>56</v>
      </c>
      <c r="I142">
        <v>28</v>
      </c>
      <c r="J142" s="10">
        <v>45271</v>
      </c>
      <c r="K142" t="s">
        <v>598</v>
      </c>
    </row>
    <row r="143" spans="2:11" x14ac:dyDescent="0.25">
      <c r="B143" s="3" t="s">
        <v>582</v>
      </c>
      <c r="C143" t="s">
        <v>654</v>
      </c>
      <c r="D143" t="s">
        <v>599</v>
      </c>
      <c r="E143" t="s">
        <v>37</v>
      </c>
      <c r="F143" t="s">
        <v>316</v>
      </c>
      <c r="G143">
        <v>4</v>
      </c>
      <c r="H143">
        <v>56</v>
      </c>
      <c r="I143">
        <v>26</v>
      </c>
      <c r="J143" s="10">
        <v>45271</v>
      </c>
      <c r="K143" t="s">
        <v>600</v>
      </c>
    </row>
    <row r="144" spans="2:11" x14ac:dyDescent="0.25">
      <c r="B144" s="3" t="s">
        <v>582</v>
      </c>
      <c r="C144" t="s">
        <v>654</v>
      </c>
      <c r="D144" t="s">
        <v>601</v>
      </c>
      <c r="E144" t="s">
        <v>326</v>
      </c>
      <c r="F144" t="s">
        <v>327</v>
      </c>
      <c r="G144">
        <v>5</v>
      </c>
      <c r="H144">
        <v>56</v>
      </c>
      <c r="I144">
        <v>32</v>
      </c>
      <c r="J144" s="10">
        <v>45271</v>
      </c>
      <c r="K144" t="s">
        <v>602</v>
      </c>
    </row>
    <row r="145" spans="2:11" x14ac:dyDescent="0.25">
      <c r="B145" s="3" t="s">
        <v>582</v>
      </c>
      <c r="C145" t="s">
        <v>654</v>
      </c>
      <c r="D145" t="s">
        <v>603</v>
      </c>
      <c r="E145" t="s">
        <v>330</v>
      </c>
      <c r="F145" t="s">
        <v>327</v>
      </c>
      <c r="G145">
        <v>5</v>
      </c>
      <c r="H145">
        <v>56</v>
      </c>
      <c r="I145">
        <v>35</v>
      </c>
      <c r="J145" s="10">
        <v>45271</v>
      </c>
      <c r="K145" t="s">
        <v>604</v>
      </c>
    </row>
    <row r="146" spans="2:11" x14ac:dyDescent="0.25">
      <c r="B146" s="3" t="s">
        <v>582</v>
      </c>
      <c r="C146" t="s">
        <v>654</v>
      </c>
      <c r="D146" t="s">
        <v>605</v>
      </c>
      <c r="E146" t="s">
        <v>30</v>
      </c>
      <c r="F146" t="s">
        <v>327</v>
      </c>
      <c r="G146">
        <v>5</v>
      </c>
      <c r="H146">
        <v>56</v>
      </c>
      <c r="I146">
        <v>33</v>
      </c>
      <c r="J146" s="10">
        <v>45271</v>
      </c>
      <c r="K146" t="s">
        <v>606</v>
      </c>
    </row>
    <row r="147" spans="2:11" x14ac:dyDescent="0.25">
      <c r="B147" s="3" t="s">
        <v>582</v>
      </c>
      <c r="C147" t="s">
        <v>654</v>
      </c>
      <c r="D147" t="s">
        <v>607</v>
      </c>
      <c r="E147" t="s">
        <v>32</v>
      </c>
      <c r="F147" t="s">
        <v>327</v>
      </c>
      <c r="G147">
        <v>5</v>
      </c>
      <c r="H147">
        <v>56</v>
      </c>
      <c r="I147">
        <v>32</v>
      </c>
      <c r="J147" s="10">
        <v>45271</v>
      </c>
      <c r="K147" t="s">
        <v>608</v>
      </c>
    </row>
    <row r="148" spans="2:11" x14ac:dyDescent="0.25">
      <c r="B148" s="3" t="s">
        <v>582</v>
      </c>
      <c r="C148" t="s">
        <v>654</v>
      </c>
      <c r="D148" t="s">
        <v>609</v>
      </c>
      <c r="E148" t="s">
        <v>27</v>
      </c>
      <c r="F148" t="s">
        <v>335</v>
      </c>
      <c r="G148">
        <v>6</v>
      </c>
      <c r="H148">
        <v>56</v>
      </c>
      <c r="I148">
        <v>37</v>
      </c>
      <c r="J148" s="10">
        <v>45271</v>
      </c>
      <c r="K148" t="s">
        <v>610</v>
      </c>
    </row>
    <row r="149" spans="2:11" x14ac:dyDescent="0.25">
      <c r="B149" s="3" t="s">
        <v>582</v>
      </c>
      <c r="C149" t="s">
        <v>654</v>
      </c>
      <c r="D149" t="s">
        <v>611</v>
      </c>
      <c r="E149" t="s">
        <v>23</v>
      </c>
      <c r="F149" t="s">
        <v>338</v>
      </c>
      <c r="G149">
        <v>8</v>
      </c>
      <c r="H149">
        <v>56</v>
      </c>
      <c r="I149">
        <v>48</v>
      </c>
      <c r="J149" s="10">
        <v>45271</v>
      </c>
      <c r="K149" t="s">
        <v>612</v>
      </c>
    </row>
    <row r="150" spans="2:11" x14ac:dyDescent="0.25">
      <c r="B150" s="3" t="s">
        <v>613</v>
      </c>
      <c r="C150" t="s">
        <v>655</v>
      </c>
      <c r="D150" t="s">
        <v>614</v>
      </c>
      <c r="E150" t="s">
        <v>304</v>
      </c>
      <c r="F150" t="s">
        <v>305</v>
      </c>
      <c r="G150">
        <v>16</v>
      </c>
      <c r="H150">
        <v>7</v>
      </c>
      <c r="I150">
        <v>14</v>
      </c>
      <c r="J150" s="10">
        <v>45434</v>
      </c>
      <c r="K150" t="s">
        <v>615</v>
      </c>
    </row>
    <row r="151" spans="2:11" x14ac:dyDescent="0.25">
      <c r="B151" s="3" t="s">
        <v>613</v>
      </c>
      <c r="C151" t="s">
        <v>655</v>
      </c>
      <c r="D151" t="s">
        <v>616</v>
      </c>
      <c r="E151" t="s">
        <v>73</v>
      </c>
      <c r="F151" t="s">
        <v>308</v>
      </c>
      <c r="G151">
        <v>2</v>
      </c>
      <c r="H151">
        <v>7</v>
      </c>
      <c r="I151">
        <v>2.7</v>
      </c>
      <c r="J151" s="10">
        <v>45434</v>
      </c>
      <c r="K151" t="s">
        <v>617</v>
      </c>
    </row>
    <row r="152" spans="2:11" x14ac:dyDescent="0.25">
      <c r="B152" s="3" t="s">
        <v>613</v>
      </c>
      <c r="C152" t="s">
        <v>655</v>
      </c>
      <c r="D152" t="s">
        <v>618</v>
      </c>
      <c r="E152" t="s">
        <v>61</v>
      </c>
      <c r="F152" t="s">
        <v>311</v>
      </c>
      <c r="G152">
        <v>3</v>
      </c>
      <c r="H152">
        <v>7</v>
      </c>
      <c r="I152">
        <v>3.8</v>
      </c>
      <c r="J152" s="10">
        <v>45434</v>
      </c>
      <c r="K152" t="s">
        <v>619</v>
      </c>
    </row>
    <row r="153" spans="2:11" x14ac:dyDescent="0.25">
      <c r="B153" s="3" t="s">
        <v>613</v>
      </c>
      <c r="C153" t="s">
        <v>655</v>
      </c>
      <c r="D153" t="s">
        <v>620</v>
      </c>
      <c r="E153" t="s">
        <v>63</v>
      </c>
      <c r="F153" t="s">
        <v>311</v>
      </c>
      <c r="G153">
        <v>3</v>
      </c>
      <c r="H153">
        <v>7</v>
      </c>
      <c r="I153">
        <v>3.5</v>
      </c>
      <c r="J153" s="10">
        <v>45434</v>
      </c>
      <c r="K153" t="s">
        <v>621</v>
      </c>
    </row>
    <row r="154" spans="2:11" x14ac:dyDescent="0.25">
      <c r="B154" s="3" t="s">
        <v>613</v>
      </c>
      <c r="C154" t="s">
        <v>655</v>
      </c>
      <c r="D154" t="s">
        <v>622</v>
      </c>
      <c r="E154" t="s">
        <v>67</v>
      </c>
      <c r="F154" t="s">
        <v>311</v>
      </c>
      <c r="G154">
        <v>3</v>
      </c>
      <c r="H154">
        <v>7</v>
      </c>
      <c r="I154">
        <v>3.2</v>
      </c>
      <c r="J154" s="10">
        <v>45434</v>
      </c>
      <c r="K154" t="s">
        <v>623</v>
      </c>
    </row>
    <row r="155" spans="2:11" x14ac:dyDescent="0.25">
      <c r="B155" s="3" t="s">
        <v>613</v>
      </c>
      <c r="C155" t="s">
        <v>655</v>
      </c>
      <c r="D155" t="s">
        <v>624</v>
      </c>
      <c r="E155" t="s">
        <v>102</v>
      </c>
      <c r="F155" t="s">
        <v>316</v>
      </c>
      <c r="G155">
        <v>4</v>
      </c>
      <c r="H155">
        <v>7</v>
      </c>
      <c r="I155">
        <v>4.0999999999999996</v>
      </c>
      <c r="J155" s="10">
        <v>45434</v>
      </c>
      <c r="K155" t="s">
        <v>625</v>
      </c>
    </row>
    <row r="156" spans="2:11" x14ac:dyDescent="0.25">
      <c r="B156" s="3" t="s">
        <v>613</v>
      </c>
      <c r="C156" t="s">
        <v>655</v>
      </c>
      <c r="D156" t="s">
        <v>626</v>
      </c>
      <c r="E156" t="s">
        <v>319</v>
      </c>
      <c r="F156" t="s">
        <v>316</v>
      </c>
      <c r="G156">
        <v>4</v>
      </c>
      <c r="H156">
        <v>7</v>
      </c>
      <c r="I156">
        <v>4.5999999999999996</v>
      </c>
      <c r="J156" s="10">
        <v>45434</v>
      </c>
      <c r="K156" t="s">
        <v>627</v>
      </c>
    </row>
    <row r="157" spans="2:11" x14ac:dyDescent="0.25">
      <c r="B157" s="3" t="s">
        <v>613</v>
      </c>
      <c r="C157" t="s">
        <v>655</v>
      </c>
      <c r="D157" t="s">
        <v>628</v>
      </c>
      <c r="E157" t="s">
        <v>35</v>
      </c>
      <c r="F157" t="s">
        <v>316</v>
      </c>
      <c r="G157">
        <v>4</v>
      </c>
      <c r="H157">
        <v>7</v>
      </c>
      <c r="I157">
        <v>4.4000000000000004</v>
      </c>
      <c r="J157" s="10">
        <v>45434</v>
      </c>
      <c r="K157" t="s">
        <v>629</v>
      </c>
    </row>
    <row r="158" spans="2:11" x14ac:dyDescent="0.25">
      <c r="B158" s="3" t="s">
        <v>613</v>
      </c>
      <c r="C158" t="s">
        <v>655</v>
      </c>
      <c r="D158" t="s">
        <v>630</v>
      </c>
      <c r="E158" t="s">
        <v>37</v>
      </c>
      <c r="F158" t="s">
        <v>316</v>
      </c>
      <c r="G158">
        <v>4</v>
      </c>
      <c r="H158">
        <v>7</v>
      </c>
      <c r="I158">
        <v>4.0999999999999996</v>
      </c>
      <c r="J158" s="10">
        <v>45434</v>
      </c>
      <c r="K158" t="s">
        <v>631</v>
      </c>
    </row>
    <row r="159" spans="2:11" x14ac:dyDescent="0.25">
      <c r="B159" s="3" t="s">
        <v>613</v>
      </c>
      <c r="C159" t="s">
        <v>655</v>
      </c>
      <c r="D159" t="s">
        <v>632</v>
      </c>
      <c r="E159" t="s">
        <v>326</v>
      </c>
      <c r="F159" t="s">
        <v>327</v>
      </c>
      <c r="G159">
        <v>5</v>
      </c>
      <c r="H159">
        <v>7</v>
      </c>
      <c r="I159">
        <v>5</v>
      </c>
      <c r="J159" s="10">
        <v>45434</v>
      </c>
      <c r="K159" t="s">
        <v>633</v>
      </c>
    </row>
    <row r="160" spans="2:11" x14ac:dyDescent="0.25">
      <c r="B160" s="3" t="s">
        <v>613</v>
      </c>
      <c r="C160" t="s">
        <v>655</v>
      </c>
      <c r="D160" t="s">
        <v>634</v>
      </c>
      <c r="E160" t="s">
        <v>330</v>
      </c>
      <c r="F160" t="s">
        <v>327</v>
      </c>
      <c r="G160">
        <v>5</v>
      </c>
      <c r="H160">
        <v>7</v>
      </c>
      <c r="I160">
        <v>5.4</v>
      </c>
      <c r="J160" s="10">
        <v>45434</v>
      </c>
      <c r="K160" t="s">
        <v>635</v>
      </c>
    </row>
    <row r="161" spans="2:11" x14ac:dyDescent="0.25">
      <c r="B161" s="3" t="s">
        <v>613</v>
      </c>
      <c r="C161" t="s">
        <v>655</v>
      </c>
      <c r="D161" t="s">
        <v>636</v>
      </c>
      <c r="E161" t="s">
        <v>30</v>
      </c>
      <c r="F161" t="s">
        <v>327</v>
      </c>
      <c r="G161">
        <v>5</v>
      </c>
      <c r="H161">
        <v>7</v>
      </c>
      <c r="I161">
        <v>5.0999999999999996</v>
      </c>
      <c r="J161" s="10">
        <v>45434</v>
      </c>
      <c r="K161" t="s">
        <v>637</v>
      </c>
    </row>
    <row r="162" spans="2:11" x14ac:dyDescent="0.25">
      <c r="B162" s="3" t="s">
        <v>613</v>
      </c>
      <c r="C162" t="s">
        <v>655</v>
      </c>
      <c r="D162" t="s">
        <v>638</v>
      </c>
      <c r="E162" t="s">
        <v>32</v>
      </c>
      <c r="F162" t="s">
        <v>327</v>
      </c>
      <c r="G162">
        <v>5</v>
      </c>
      <c r="H162">
        <v>7</v>
      </c>
      <c r="I162">
        <v>5</v>
      </c>
      <c r="J162" s="10">
        <v>45434</v>
      </c>
      <c r="K162" t="s">
        <v>639</v>
      </c>
    </row>
    <row r="163" spans="2:11" x14ac:dyDescent="0.25">
      <c r="B163" s="3" t="s">
        <v>613</v>
      </c>
      <c r="C163" t="s">
        <v>655</v>
      </c>
      <c r="D163" t="s">
        <v>640</v>
      </c>
      <c r="E163" t="s">
        <v>27</v>
      </c>
      <c r="F163" t="s">
        <v>335</v>
      </c>
      <c r="G163">
        <v>6</v>
      </c>
      <c r="H163">
        <v>7</v>
      </c>
      <c r="I163">
        <v>5.9</v>
      </c>
      <c r="J163" s="10">
        <v>45434</v>
      </c>
      <c r="K163" t="s">
        <v>641</v>
      </c>
    </row>
    <row r="164" spans="2:11" x14ac:dyDescent="0.25">
      <c r="B164" s="3" t="s">
        <v>613</v>
      </c>
      <c r="C164" t="s">
        <v>655</v>
      </c>
      <c r="D164" t="s">
        <v>642</v>
      </c>
      <c r="E164" t="s">
        <v>23</v>
      </c>
      <c r="F164" t="s">
        <v>338</v>
      </c>
      <c r="G164">
        <v>8</v>
      </c>
      <c r="H164">
        <v>7</v>
      </c>
      <c r="I164">
        <v>7.7</v>
      </c>
      <c r="J164" s="10">
        <v>45434</v>
      </c>
      <c r="K164" t="s">
        <v>643</v>
      </c>
    </row>
    <row r="165" spans="2:11" x14ac:dyDescent="0.25">
      <c r="J165" s="1"/>
    </row>
    <row r="166" spans="2:11" x14ac:dyDescent="0.25">
      <c r="J166" s="1"/>
    </row>
    <row r="167" spans="2:11" x14ac:dyDescent="0.25">
      <c r="J167" s="1"/>
    </row>
    <row r="168" spans="2:11" x14ac:dyDescent="0.25">
      <c r="J168" s="1"/>
    </row>
    <row r="169" spans="2:11" x14ac:dyDescent="0.25">
      <c r="J169" s="1"/>
    </row>
    <row r="170" spans="2:11" x14ac:dyDescent="0.25">
      <c r="J170" s="1"/>
    </row>
    <row r="171" spans="2:11" x14ac:dyDescent="0.25">
      <c r="J171" s="1"/>
    </row>
    <row r="172" spans="2:11" x14ac:dyDescent="0.25">
      <c r="J172" s="1"/>
    </row>
    <row r="173" spans="2:11" x14ac:dyDescent="0.25">
      <c r="J173" s="1"/>
    </row>
    <row r="174" spans="2:11" x14ac:dyDescent="0.25">
      <c r="J174" s="1"/>
    </row>
    <row r="175" spans="2:11" x14ac:dyDescent="0.25">
      <c r="J175" s="1"/>
    </row>
    <row r="176" spans="2:11" x14ac:dyDescent="0.25">
      <c r="J176" s="1"/>
    </row>
    <row r="177" spans="10:10" x14ac:dyDescent="0.25">
      <c r="J177" s="1"/>
    </row>
    <row r="178" spans="10:10" x14ac:dyDescent="0.25">
      <c r="J178" s="1"/>
    </row>
    <row r="179" spans="10:10" x14ac:dyDescent="0.25">
      <c r="J179" s="1"/>
    </row>
    <row r="180" spans="10:10" x14ac:dyDescent="0.25">
      <c r="J180" s="1"/>
    </row>
    <row r="181" spans="10:10" x14ac:dyDescent="0.25">
      <c r="J181" s="1"/>
    </row>
    <row r="182" spans="10:10" x14ac:dyDescent="0.25">
      <c r="J182" s="1"/>
    </row>
    <row r="183" spans="10:10" x14ac:dyDescent="0.25">
      <c r="J183" s="1"/>
    </row>
    <row r="184" spans="10:10" x14ac:dyDescent="0.25">
      <c r="J184" s="1"/>
    </row>
    <row r="185" spans="10:10" x14ac:dyDescent="0.25">
      <c r="J185" s="1"/>
    </row>
    <row r="186" spans="10:10" x14ac:dyDescent="0.25">
      <c r="J186" s="1"/>
    </row>
    <row r="187" spans="10:10" x14ac:dyDescent="0.25">
      <c r="J187" s="1"/>
    </row>
    <row r="188" spans="10:10" x14ac:dyDescent="0.25">
      <c r="J188" s="1"/>
    </row>
    <row r="189" spans="10:10" x14ac:dyDescent="0.25">
      <c r="J189" s="1"/>
    </row>
    <row r="190" spans="10:10" x14ac:dyDescent="0.25">
      <c r="J190" s="1"/>
    </row>
    <row r="191" spans="10:10" x14ac:dyDescent="0.25">
      <c r="J191" s="1"/>
    </row>
    <row r="192" spans="10:10" x14ac:dyDescent="0.25">
      <c r="J192" s="1"/>
    </row>
    <row r="193" spans="10:10" x14ac:dyDescent="0.25">
      <c r="J193" s="1"/>
    </row>
    <row r="194" spans="10:10" x14ac:dyDescent="0.25">
      <c r="J194" s="1"/>
    </row>
    <row r="195" spans="10:10" x14ac:dyDescent="0.25">
      <c r="J195" s="1"/>
    </row>
    <row r="196" spans="10:10" x14ac:dyDescent="0.25">
      <c r="J196" s="1"/>
    </row>
    <row r="197" spans="10:10" x14ac:dyDescent="0.25">
      <c r="J197" s="1"/>
    </row>
    <row r="198" spans="10:10" x14ac:dyDescent="0.25">
      <c r="J198" s="1"/>
    </row>
    <row r="199" spans="10:10" x14ac:dyDescent="0.25">
      <c r="J199" s="1"/>
    </row>
    <row r="200" spans="10:10" x14ac:dyDescent="0.25">
      <c r="J200" s="1"/>
    </row>
    <row r="201" spans="10:10" x14ac:dyDescent="0.25">
      <c r="J201" s="1"/>
    </row>
    <row r="202" spans="10:10" x14ac:dyDescent="0.25">
      <c r="J202" s="1"/>
    </row>
    <row r="203" spans="10:10" x14ac:dyDescent="0.25">
      <c r="J203" s="1"/>
    </row>
    <row r="204" spans="10:10" x14ac:dyDescent="0.25">
      <c r="J204" s="1"/>
    </row>
    <row r="205" spans="10:10" x14ac:dyDescent="0.25">
      <c r="J205" s="1"/>
    </row>
    <row r="206" spans="10:10" x14ac:dyDescent="0.25">
      <c r="J206" s="1"/>
    </row>
    <row r="207" spans="10:10" x14ac:dyDescent="0.25">
      <c r="J207" s="1"/>
    </row>
    <row r="208" spans="10:10" x14ac:dyDescent="0.25">
      <c r="J208" s="1"/>
    </row>
    <row r="209" spans="10:10" x14ac:dyDescent="0.25">
      <c r="J209" s="1"/>
    </row>
    <row r="210" spans="10:10" x14ac:dyDescent="0.25">
      <c r="J210" s="1"/>
    </row>
    <row r="211" spans="10:10" x14ac:dyDescent="0.25">
      <c r="J211" s="1"/>
    </row>
    <row r="212" spans="10:10" x14ac:dyDescent="0.25">
      <c r="J212" s="1"/>
    </row>
    <row r="213" spans="10:10" x14ac:dyDescent="0.25">
      <c r="J213" s="1"/>
    </row>
    <row r="214" spans="10:10" x14ac:dyDescent="0.25">
      <c r="J214" s="1"/>
    </row>
    <row r="215" spans="10:10" x14ac:dyDescent="0.25">
      <c r="J215" s="1"/>
    </row>
    <row r="216" spans="10:10" x14ac:dyDescent="0.25">
      <c r="J216" s="1"/>
    </row>
    <row r="217" spans="10:10" x14ac:dyDescent="0.25">
      <c r="J217" s="1"/>
    </row>
    <row r="218" spans="10:10" x14ac:dyDescent="0.25">
      <c r="J218" s="1"/>
    </row>
    <row r="219" spans="10:10" x14ac:dyDescent="0.25">
      <c r="J219" s="1"/>
    </row>
    <row r="220" spans="10:10" x14ac:dyDescent="0.25">
      <c r="J220" s="1"/>
    </row>
    <row r="221" spans="10:10" x14ac:dyDescent="0.25">
      <c r="J221" s="1"/>
    </row>
    <row r="222" spans="10:10" x14ac:dyDescent="0.25">
      <c r="J222" s="1"/>
    </row>
    <row r="223" spans="10:10" x14ac:dyDescent="0.25">
      <c r="J223" s="1"/>
    </row>
    <row r="224" spans="10:10" x14ac:dyDescent="0.25">
      <c r="J224" s="1"/>
    </row>
    <row r="225" spans="10:10" x14ac:dyDescent="0.25">
      <c r="J225" s="1"/>
    </row>
    <row r="226" spans="10:10" x14ac:dyDescent="0.25">
      <c r="J226" s="1"/>
    </row>
    <row r="227" spans="10:10" x14ac:dyDescent="0.25">
      <c r="J227" s="1"/>
    </row>
    <row r="228" spans="10:10" x14ac:dyDescent="0.25">
      <c r="J228" s="1"/>
    </row>
    <row r="229" spans="10:10" x14ac:dyDescent="0.25">
      <c r="J229" s="1"/>
    </row>
    <row r="230" spans="10:10" x14ac:dyDescent="0.25">
      <c r="J230" s="1"/>
    </row>
    <row r="231" spans="10:10" x14ac:dyDescent="0.25">
      <c r="J231" s="1"/>
    </row>
    <row r="232" spans="10:10" x14ac:dyDescent="0.25">
      <c r="J232" s="1"/>
    </row>
    <row r="233" spans="10:10" x14ac:dyDescent="0.25">
      <c r="J233" s="1"/>
    </row>
    <row r="234" spans="10:10" x14ac:dyDescent="0.25">
      <c r="J234" s="1"/>
    </row>
    <row r="235" spans="10:10" x14ac:dyDescent="0.25">
      <c r="J235" s="1"/>
    </row>
    <row r="236" spans="10:10" x14ac:dyDescent="0.25">
      <c r="J236" s="1"/>
    </row>
    <row r="237" spans="10:10" x14ac:dyDescent="0.25">
      <c r="J237" s="1"/>
    </row>
    <row r="238" spans="10:10" x14ac:dyDescent="0.25">
      <c r="J238" s="1"/>
    </row>
    <row r="239" spans="10:10" x14ac:dyDescent="0.25">
      <c r="J239" s="1"/>
    </row>
    <row r="240" spans="10:10" x14ac:dyDescent="0.25">
      <c r="J240" s="1"/>
    </row>
    <row r="241" spans="10:10" x14ac:dyDescent="0.25">
      <c r="J241" s="1"/>
    </row>
    <row r="242" spans="10:10" x14ac:dyDescent="0.25">
      <c r="J242" s="1"/>
    </row>
    <row r="243" spans="10:10" x14ac:dyDescent="0.25">
      <c r="J243" s="1"/>
    </row>
    <row r="244" spans="10:10" x14ac:dyDescent="0.25">
      <c r="J244" s="1"/>
    </row>
    <row r="245" spans="10:10" x14ac:dyDescent="0.25">
      <c r="J245" s="1"/>
    </row>
    <row r="246" spans="10:10" x14ac:dyDescent="0.25">
      <c r="J246" s="1"/>
    </row>
    <row r="247" spans="10:10" x14ac:dyDescent="0.25">
      <c r="J247" s="1"/>
    </row>
    <row r="248" spans="10:10" x14ac:dyDescent="0.25">
      <c r="J24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ollama-ggufs</vt:lpstr>
      <vt:lpstr>gguf models</vt:lpstr>
      <vt:lpstr>ollama-ggufs-old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2025-01-27T16:37:52Z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bbd4a6-dc2f-44d9-ad2c-c28d4679873f_Enabled">
    <vt:lpwstr>true</vt:lpwstr>
  </property>
  <property fmtid="{D5CDD505-2E9C-101B-9397-08002B2CF9AE}" pid="3" name="MSIP_Label_acbbd4a6-dc2f-44d9-ad2c-c28d4679873f_SetDate">
    <vt:lpwstr>2024-10-09T00:53:42Z</vt:lpwstr>
  </property>
  <property fmtid="{D5CDD505-2E9C-101B-9397-08002B2CF9AE}" pid="4" name="MSIP_Label_acbbd4a6-dc2f-44d9-ad2c-c28d4679873f_Method">
    <vt:lpwstr>Standard</vt:lpwstr>
  </property>
  <property fmtid="{D5CDD505-2E9C-101B-9397-08002B2CF9AE}" pid="5" name="MSIP_Label_acbbd4a6-dc2f-44d9-ad2c-c28d4679873f_Name">
    <vt:lpwstr>No Label</vt:lpwstr>
  </property>
  <property fmtid="{D5CDD505-2E9C-101B-9397-08002B2CF9AE}" pid="6" name="MSIP_Label_acbbd4a6-dc2f-44d9-ad2c-c28d4679873f_SiteId">
    <vt:lpwstr>6d936231-a517-40ea-9199-f7578963378e</vt:lpwstr>
  </property>
  <property fmtid="{D5CDD505-2E9C-101B-9397-08002B2CF9AE}" pid="7" name="MSIP_Label_acbbd4a6-dc2f-44d9-ad2c-c28d4679873f_ActionId">
    <vt:lpwstr>402aad8e-b42f-4d71-8b12-2a7f54017ebd</vt:lpwstr>
  </property>
  <property fmtid="{D5CDD505-2E9C-101B-9397-08002B2CF9AE}" pid="8" name="MSIP_Label_acbbd4a6-dc2f-44d9-ad2c-c28d4679873f_ContentBits">
    <vt:lpwstr>0</vt:lpwstr>
  </property>
</Properties>
</file>